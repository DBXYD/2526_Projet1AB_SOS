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 defaultThemeVersion="166925"/>
  <xr:revisionPtr revIDLastSave="4313" documentId="11_F7EE4110A60FE31AEDAF3B97D7D52206D0CB4AA5" xr6:coauthVersionLast="47" xr6:coauthVersionMax="47" xr10:uidLastSave="{C2F8B741-F3A3-4EA4-A549-2249528F72B0}"/>
  <bookViews>
    <workbookView xWindow="0" yWindow="0" windowWidth="16384" windowHeight="8192" tabRatio="500" xr2:uid="{00000000-000D-0000-FFFF-FFFF00000000}"/>
  </bookViews>
  <sheets>
    <sheet name="components" sheetId="1" r:id="rId1"/>
    <sheet name="categories" sheetId="2" r:id="rId2"/>
    <sheet name="subcategories_split" sheetId="5" r:id="rId3"/>
    <sheet name="subsubcategories_split" sheetId="6" r:id="rId4"/>
    <sheet name="supplier" sheetId="3" r:id="rId5"/>
    <sheet name="manufacturer" sheetId="4" r:id="rId6"/>
  </sheets>
  <definedNames>
    <definedName name="circuitProtection">subcategories_split!$K$10</definedName>
    <definedName name="connector">subcategories_split!$G$3:$G$29</definedName>
    <definedName name="electromechanical">subcategories_split!$K$3:$K$29</definedName>
    <definedName name="embeddedSolutions">subcategories_split!$O$3:$O$29</definedName>
    <definedName name="optoelectronic">subcategories_split!$U$33:$W$59</definedName>
    <definedName name="passiveComponents">subcategories_split!$S$3:$S$29</definedName>
    <definedName name="power">subcategories_split!$W$3:$W$29</definedName>
    <definedName name="semiconductors">subcategories_split!$C$33:$C$59</definedName>
    <definedName name="sensors">subcategories_split!$G$33:$G$59</definedName>
    <definedName name="thermalManagement">subcategories_split!$K$33:$K$59</definedName>
    <definedName name="tools">subcategories_split!$S$33:$S$59</definedName>
    <definedName name="wireCables">subcategories_split!$O$33:$O$59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U33" i="5" l="1" a="1"/>
  <c r="U33" i="5"/>
  <c r="A3" i="6" a="1"/>
  <c r="A3" i="6"/>
  <c r="A3" i="5" a="1"/>
  <c r="A3" i="5"/>
  <c r="O5" i="2" a="1"/>
  <c r="O5" i="2"/>
  <c r="I3" i="6" a="1"/>
  <c r="I3" i="6"/>
  <c r="E3" i="6" a="1"/>
  <c r="E3" i="6"/>
  <c r="I63" i="6" a="1"/>
  <c r="I63" i="6"/>
  <c r="E63" i="6" a="1"/>
  <c r="E63" i="6"/>
  <c r="A63" i="6" a="1"/>
  <c r="A63" i="6"/>
  <c r="U33" i="6" a="1"/>
  <c r="U33" i="6"/>
  <c r="Q33" i="6" a="1"/>
  <c r="Q33" i="6"/>
  <c r="M33" i="6" a="1"/>
  <c r="M33" i="6"/>
  <c r="I33" i="6" a="1"/>
  <c r="I33" i="6"/>
  <c r="E33" i="6" a="1"/>
  <c r="E33" i="6"/>
  <c r="A33" i="6" a="1"/>
  <c r="A33" i="6"/>
  <c r="U3" i="6" a="1"/>
  <c r="U3" i="6"/>
  <c r="Q3" i="6" a="1"/>
  <c r="Q3" i="6"/>
  <c r="M3" i="6" a="1"/>
  <c r="M3" i="6"/>
  <c r="Q33" i="5" a="1"/>
  <c r="Q33" i="5"/>
  <c r="M33" i="5" a="1"/>
  <c r="M33" i="5"/>
  <c r="I33" i="5" a="1"/>
  <c r="I33" i="5"/>
  <c r="E33" i="5" a="1"/>
  <c r="E33" i="5"/>
  <c r="A33" i="5" a="1"/>
  <c r="A33" i="5"/>
  <c r="U3" i="5" a="1"/>
  <c r="U3" i="5"/>
  <c r="Q3" i="5" a="1"/>
  <c r="Q3" i="5"/>
  <c r="M3" i="5" a="1"/>
  <c r="M3" i="5"/>
  <c r="I3" i="5" a="1"/>
  <c r="I3" i="5"/>
  <c r="E3" i="5" a="1"/>
  <c r="E3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<sst xmlns="http://schemas.openxmlformats.org/spreadsheetml/2006/main" count="2826" uniqueCount="1005">
  <si>
    <t>References</t>
  </si>
  <si>
    <t>Features</t>
  </si>
  <si>
    <t>Link</t>
  </si>
  <si>
    <t>Location</t>
  </si>
  <si>
    <t>Category</t>
  </si>
  <si>
    <t>Sub-Category</t>
  </si>
  <si>
    <t>Sub-sub-Category</t>
  </si>
  <si>
    <t>Manufacturer</t>
  </si>
  <si>
    <t>MPN</t>
  </si>
  <si>
    <t>Supplier</t>
  </si>
  <si>
    <t>Supplier Ref</t>
  </si>
  <si>
    <t>Quantity</t>
  </si>
  <si>
    <t>Value</t>
  </si>
  <si>
    <t>Type</t>
  </si>
  <si>
    <t>Comment</t>
  </si>
  <si>
    <t>SMD / THT</t>
  </si>
  <si>
    <t>Footprint</t>
  </si>
  <si>
    <t>Datasheet</t>
  </si>
  <si>
    <t>Purchase</t>
  </si>
  <si>
    <t>KiCad Lib</t>
  </si>
  <si>
    <t>Room</t>
  </si>
  <si>
    <t>Furniture</t>
  </si>
  <si>
    <t>Drawer</t>
  </si>
  <si>
    <t>Column</t>
  </si>
  <si>
    <t>Raw</t>
  </si>
  <si>
    <t>optoelectronic</t>
  </si>
  <si>
    <t>LED</t>
  </si>
  <si>
    <t>Dialight</t>
  </si>
  <si>
    <t>5988G10313F</t>
  </si>
  <si>
    <t>Farnell</t>
  </si>
  <si>
    <t>20mA</t>
  </si>
  <si>
    <t>LED RGB</t>
  </si>
  <si>
    <t xml:space="preserve">R 2.4V, G 3.4V, B 3,4V </t>
  </si>
  <si>
    <t>SMD</t>
  </si>
  <si>
    <t>custom</t>
  </si>
  <si>
    <t>https://www.mouser.fr/datasheet/2/109/C18481B-2944388.pdf</t>
  </si>
  <si>
    <t>https://fr.farnell.com/dialight/5988g10313f/led-rgb-680mcd-1-5cd-380mcd-cms/dp/3584522</t>
  </si>
  <si>
    <t>D265</t>
  </si>
  <si>
    <t>Tiro-clas</t>
  </si>
  <si>
    <t>IR</t>
  </si>
  <si>
    <t>Vishay</t>
  </si>
  <si>
    <t>TSOP75338TT</t>
  </si>
  <si>
    <t>38kHz</t>
  </si>
  <si>
    <t>IR Receiver Modules</t>
  </si>
  <si>
    <t>50°</t>
  </si>
  <si>
    <t>https://www.vishay.com/docs/82495/tsop753.pdf</t>
  </si>
  <si>
    <t>https://fr.farnell.com/vishay/tsop75338tt/recepteur-ir-45m-0-12mw-m2-cms/dp/1779691</t>
  </si>
  <si>
    <t>Wurth</t>
  </si>
  <si>
    <t>150060GS55040</t>
  </si>
  <si>
    <t>Green</t>
  </si>
  <si>
    <t>Vf = 3,2V</t>
  </si>
  <si>
    <t>0603</t>
  </si>
  <si>
    <t>https://www.we-online.com/components/products/datasheet/150060GS55040.pdf</t>
  </si>
  <si>
    <t>150060YS55040</t>
  </si>
  <si>
    <t>Yellow</t>
  </si>
  <si>
    <t>Vf = 2,0V</t>
  </si>
  <si>
    <t>https://www.we-online.com/components/products/datasheet/150060YS55040.pdf</t>
  </si>
  <si>
    <t>150060BS55040</t>
  </si>
  <si>
    <t>Blue</t>
  </si>
  <si>
    <t>https://www.we-online.com/components/products/datasheet/150060BS55040.pdf</t>
  </si>
  <si>
    <t>150060RS55040</t>
  </si>
  <si>
    <t>Red</t>
  </si>
  <si>
    <t>https://www.we-online.com/components/products/datasheet/150060RS55040.pdf</t>
  </si>
  <si>
    <t>150060AS55040</t>
  </si>
  <si>
    <t>Amber</t>
  </si>
  <si>
    <t>https://www.we-online.com/components/products/datasheet/150060AS55040.pdf</t>
  </si>
  <si>
    <t>passiveComponents</t>
  </si>
  <si>
    <t>resistors</t>
  </si>
  <si>
    <t>TE Connectivity</t>
  </si>
  <si>
    <t>RLP73K3AR11FTDF</t>
  </si>
  <si>
    <t>0R11</t>
  </si>
  <si>
    <t>Shunt</t>
  </si>
  <si>
    <t>2W, 1%</t>
  </si>
  <si>
    <t>2512</t>
  </si>
  <si>
    <t>https://www.te.com/commerce/DocumentDelivery/DDEController?Action=srchrtrv&amp;DocNm=1773269&amp;DocType=Data%20Sheet&amp;DocLang=English&amp;DocFormat=pdf&amp;PartCntxt=2-2176057-6</t>
  </si>
  <si>
    <t>https://fr.farnell.com/te-connectivity/rlp73k3ar11ftdf/resis-mesure-courant-0r11-1-2w/dp/2805295</t>
  </si>
  <si>
    <t>RLP73K3AR16JTE</t>
  </si>
  <si>
    <t>0R16</t>
  </si>
  <si>
    <t>2W, 5%</t>
  </si>
  <si>
    <t>https://fr.farnell.com/te-connectivity/rlp73k3ar16jte/resis-mesure-courant-0r16-5-2w/dp/2805301</t>
  </si>
  <si>
    <t>RLP73N3AR075JTE</t>
  </si>
  <si>
    <t>0R075</t>
  </si>
  <si>
    <t>https://fr.farnell.com/cgs-te-connectivity/2-2176058-2/res-0r075-1-2w-2512-couche-epaisse/dp/2991966</t>
  </si>
  <si>
    <t>TE.com</t>
  </si>
  <si>
    <t>HSC1004R7J</t>
  </si>
  <si>
    <t>RS</t>
  </si>
  <si>
    <t>161-6160</t>
  </si>
  <si>
    <t>4R7</t>
  </si>
  <si>
    <t>High power</t>
  </si>
  <si>
    <t>100W, 5%</t>
  </si>
  <si>
    <t>-</t>
  </si>
  <si>
    <t>https://www.te.com/commerce/DocumentDelivery/DDEController?Action=srchrtrv&amp;DocNm=1773035&amp;DocType=Data%20Sheet&amp;DocLang=English&amp;DocFormat=pdf&amp;PartCntxt=4-1625999-0</t>
  </si>
  <si>
    <t>https://fr.rs-online.com/web/p/resistances-a-montage-sur-chassis/1616160?srsltid=AfmBOop0jcqseR1NIzLS56Ms30h0mR5eTwPKPFeyTX_Ml5i3R1xd3X-E</t>
  </si>
  <si>
    <t>RCWE1210R300FKEA</t>
  </si>
  <si>
    <t>0R3</t>
  </si>
  <si>
    <t>1W, 1%</t>
  </si>
  <si>
    <t>1210</t>
  </si>
  <si>
    <t>https://www.vishay.com/docs/20019/rcwe.pdf</t>
  </si>
  <si>
    <t>https://fr.farnell.com/vishay/rcwe1210r300fkea/resistance-couche-epaisse-r3-1/dp/1838677</t>
  </si>
  <si>
    <t>inductors</t>
  </si>
  <si>
    <t>744766001</t>
  </si>
  <si>
    <t>100n</t>
  </si>
  <si>
    <t>Wire inductor</t>
  </si>
  <si>
    <t>450 mA max</t>
  </si>
  <si>
    <t>SMT</t>
  </si>
  <si>
    <t>4532</t>
  </si>
  <si>
    <t>https://www.we-online.com/components/products/datasheet/744766001.pdf</t>
  </si>
  <si>
    <t>560050350011</t>
  </si>
  <si>
    <t>0R2</t>
  </si>
  <si>
    <t>0,75W, 1%</t>
  </si>
  <si>
    <t>2010</t>
  </si>
  <si>
    <t>https://www.we-online.com/components/products/datasheet/560050350011.pdf</t>
  </si>
  <si>
    <t>74438356220</t>
  </si>
  <si>
    <t>22u</t>
  </si>
  <si>
    <t>Power Inductor</t>
  </si>
  <si>
    <t>1,85A</t>
  </si>
  <si>
    <t>4020</t>
  </si>
  <si>
    <t>https://www.we-online.com/components/products/datasheet/74438356220.pdf</t>
  </si>
  <si>
    <t>74404084220</t>
  </si>
  <si>
    <t>2,1A max</t>
  </si>
  <si>
    <t>8040</t>
  </si>
  <si>
    <t>https://www.we-online.com/components/products/datasheet/74404084220.pdf</t>
  </si>
  <si>
    <t>74404086221</t>
  </si>
  <si>
    <t>220u</t>
  </si>
  <si>
    <t>0,95A max</t>
  </si>
  <si>
    <t>8065</t>
  </si>
  <si>
    <t>https://www.we-online.com/components/products/datasheet/74404086221.pdf</t>
  </si>
  <si>
    <t>744066005</t>
  </si>
  <si>
    <t>5u</t>
  </si>
  <si>
    <t>Tiny Power Inductor</t>
  </si>
  <si>
    <t>5,3A max</t>
  </si>
  <si>
    <t>1035</t>
  </si>
  <si>
    <t>https://www.we-online.com/components/products/datasheet/744066005.pdf</t>
  </si>
  <si>
    <t>7447709220</t>
  </si>
  <si>
    <t>6,5A</t>
  </si>
  <si>
    <t>https://www.we-online.com/components/products/datasheet/7447709220.pdf</t>
  </si>
  <si>
    <t>3,5A</t>
  </si>
  <si>
    <t>1260</t>
  </si>
  <si>
    <t>https://www.we-online.com/components/products/datasheet/744771122.pdf</t>
  </si>
  <si>
    <t>capacitors</t>
  </si>
  <si>
    <t>865060462010</t>
  </si>
  <si>
    <t>1000u</t>
  </si>
  <si>
    <t>Aluminum Electrolytic</t>
  </si>
  <si>
    <t>25V max</t>
  </si>
  <si>
    <t>12,5 x 14,0</t>
  </si>
  <si>
    <t>https://www.we-online.com/components/products/datasheet/865060462010.pdf</t>
  </si>
  <si>
    <t>865060445005</t>
  </si>
  <si>
    <t>100u</t>
  </si>
  <si>
    <t>6,3 x 7,7</t>
  </si>
  <si>
    <t>https://www.we-online.com/components/products/datasheet/865060445005.pdf</t>
  </si>
  <si>
    <t>865060440001</t>
  </si>
  <si>
    <t>10u</t>
  </si>
  <si>
    <t>4,0 x 5,5</t>
  </si>
  <si>
    <t>https://www.we-online.com/components/products/datasheet/865060440001.pdf</t>
  </si>
  <si>
    <t>865060640001</t>
  </si>
  <si>
    <t>1u</t>
  </si>
  <si>
    <t>50V max</t>
  </si>
  <si>
    <t>https://www.we-online.com/components/products/datasheet/865060640001.pdf</t>
  </si>
  <si>
    <t>865060463011</t>
  </si>
  <si>
    <t>2200u</t>
  </si>
  <si>
    <t>16,0 x 17,0</t>
  </si>
  <si>
    <t>https://www.we-online.com/components/products/datasheet/865060463011.pdf</t>
  </si>
  <si>
    <t>865080463017</t>
  </si>
  <si>
    <t>25V</t>
  </si>
  <si>
    <t>16,0x17,0</t>
  </si>
  <si>
    <t>https://www.we-online.com/components/products/datasheet/865080463017.pdf</t>
  </si>
  <si>
    <t>865060453007</t>
  </si>
  <si>
    <t>8,0 x 10,5</t>
  </si>
  <si>
    <t>https://www.we-online.com/components/products/datasheet/865060453007.pdf</t>
  </si>
  <si>
    <t>865060657012</t>
  </si>
  <si>
    <t>10,0 x 10,5</t>
  </si>
  <si>
    <t>https://www.we-online.com/components/products/datasheet/865060657012.pdf</t>
  </si>
  <si>
    <t>7447709680</t>
  </si>
  <si>
    <t>68u</t>
  </si>
  <si>
    <t>3,2A</t>
  </si>
  <si>
    <t>https://www.we-online.com/components/products/datasheet/7447709680.pdf</t>
  </si>
  <si>
    <t>744821120</t>
  </si>
  <si>
    <t>20m</t>
  </si>
  <si>
    <t>Common Mode Power Line Choke</t>
  </si>
  <si>
    <t>0,5A</t>
  </si>
  <si>
    <t>THT</t>
  </si>
  <si>
    <t>X5</t>
  </si>
  <si>
    <t>https://www.we-online.com/components/products/datasheet/744821120.pdf</t>
  </si>
  <si>
    <t>865060240001</t>
  </si>
  <si>
    <t>10V max</t>
  </si>
  <si>
    <t>https://www.we-online.com/components/products/datasheet/865060240001.pdf</t>
  </si>
  <si>
    <t>865060442002</t>
  </si>
  <si>
    <t>5,0 x 5,5</t>
  </si>
  <si>
    <t>https://www.we-online.com/components/products/datasheet/865060442002.pdf</t>
  </si>
  <si>
    <t>865060457009</t>
  </si>
  <si>
    <t>470u</t>
  </si>
  <si>
    <t>https://www.we-online.com/components/products/datasheet/865060457009.pdf</t>
  </si>
  <si>
    <t>865060443004</t>
  </si>
  <si>
    <t>47u</t>
  </si>
  <si>
    <t>6,3 x 5,5</t>
  </si>
  <si>
    <t>https://www.we-online.com/components/products/datasheet/865060443004.pdf</t>
  </si>
  <si>
    <t>865060642004</t>
  </si>
  <si>
    <t>4u7</t>
  </si>
  <si>
    <t>https://www.we-online.com/components/products/datasheet/865060642004.pdf</t>
  </si>
  <si>
    <t>860010</t>
  </si>
  <si>
    <t>Kit</t>
  </si>
  <si>
    <t>16V max</t>
  </si>
  <si>
    <t>kit</t>
  </si>
  <si>
    <t>https://www.we-online.com/en/components/products/download/inlay/860010</t>
  </si>
  <si>
    <t>Patricia</t>
  </si>
  <si>
    <t>865061</t>
  </si>
  <si>
    <t>1uF -&gt; 2200uF, 25V -&gt; 50V</t>
  </si>
  <si>
    <t>https://www.we-online.com/en/components/products/download/inlay/865061</t>
  </si>
  <si>
    <t>VJ0603HIFRQ1KITHT</t>
  </si>
  <si>
    <t>MLCC</t>
  </si>
  <si>
    <t>1pF -&gt; 47pF, 100V -&gt; 200V</t>
  </si>
  <si>
    <t>https://www.vishay.com/docs/45259/vjhifreq-designkit.pdf</t>
  </si>
  <si>
    <t>VJ0603HIFRQ2KITHT</t>
  </si>
  <si>
    <t>56pF -&gt; 270pF, 16V -&gt; 50V</t>
  </si>
  <si>
    <t>7447860139</t>
  </si>
  <si>
    <t>39n</t>
  </si>
  <si>
    <t>Multilayer SMD-inductors</t>
  </si>
  <si>
    <t>400mA</t>
  </si>
  <si>
    <t>https://www.we-online.com/components/products/datasheet/7447860139.pdf</t>
  </si>
  <si>
    <t>power</t>
  </si>
  <si>
    <t>AC-DC_Converters</t>
  </si>
  <si>
    <t>Multicomp Pro</t>
  </si>
  <si>
    <t>MP-LD30-23B15R2</t>
  </si>
  <si>
    <t>15V</t>
  </si>
  <si>
    <t>PSU</t>
  </si>
  <si>
    <t>2A, 30W max</t>
  </si>
  <si>
    <t>https://www.farnell.com/datasheets/3550987.pdf</t>
  </si>
  <si>
    <t>https://fr.farnell.com/multicomp-pro/mp-ld30-23b15r2/power-supply-ac-dc-15v-2a/dp/3780527</t>
  </si>
  <si>
    <t>MP-LDE06-20B05</t>
  </si>
  <si>
    <t>5V</t>
  </si>
  <si>
    <t>1,2A, 6W max</t>
  </si>
  <si>
    <t>https://www.farnell.com/datasheets/3155173.pdf</t>
  </si>
  <si>
    <t>https://fr.farnell.com/multicomp-pro/mp-lde06-20b05/alimentation-ac-dc-5v-1-2a/dp/3556397</t>
  </si>
  <si>
    <t>TracoPower</t>
  </si>
  <si>
    <t>TMLM 04253</t>
  </si>
  <si>
    <t>5V, 3.3V</t>
  </si>
  <si>
    <t>600mA max (5V), 150mA max (3,3V)</t>
  </si>
  <si>
    <t>https://www.tracopower.com/sites/default/files/products/datasheets/tmlm_datasheet.pdf?t=1730163601</t>
  </si>
  <si>
    <t>https://fr.farnell.com/tracopower/tmlm-04253/alimentation-montage-pcb-4w-2/dp/1772165</t>
  </si>
  <si>
    <t>TMP 15148</t>
  </si>
  <si>
    <t>48V</t>
  </si>
  <si>
    <t>310mA, 15W max</t>
  </si>
  <si>
    <t>https://www.tracopower.com/sites/default/files/products/datasheets/tmp_tmpm_datasheet.pdf?t=1730163601</t>
  </si>
  <si>
    <t>https://fr.farnell.com/traco-power/tmp-15148/convertisseur-ac-dc-48v-0-3a-15w/dp/1672144</t>
  </si>
  <si>
    <t>semiconductors</t>
  </si>
  <si>
    <t>amplifier</t>
  </si>
  <si>
    <t>Broadcom</t>
  </si>
  <si>
    <t>HCPL-7800A-500E</t>
  </si>
  <si>
    <t>174-4179</t>
  </si>
  <si>
    <t>8V/V</t>
  </si>
  <si>
    <t>Isolated Amplifier</t>
  </si>
  <si>
    <t>5,5V</t>
  </si>
  <si>
    <t>Gull Wing 300</t>
  </si>
  <si>
    <t>https://fr.rs-online.com/web/p/amplificateurs-d-isolement/1744179</t>
  </si>
  <si>
    <t>Onsemi</t>
  </si>
  <si>
    <t>NCS199A3RSQT2G</t>
  </si>
  <si>
    <t>G=200</t>
  </si>
  <si>
    <t>Current shunt monitors</t>
  </si>
  <si>
    <t>2,2V to 26V</t>
  </si>
  <si>
    <t>SC-70</t>
  </si>
  <si>
    <t>https://fr.farnell.com/on-semiconductor/ncs199a3rsqt2g/ampli-musure-de-cour-40khz-40/dp/2981170</t>
  </si>
  <si>
    <t>buffer</t>
  </si>
  <si>
    <t>Texas Instrument</t>
  </si>
  <si>
    <t>74LVC2G241DCTRG4</t>
  </si>
  <si>
    <t>Mouser</t>
  </si>
  <si>
    <t>595-74LVC2G241DCTRG4</t>
  </si>
  <si>
    <t>Dual buffer 3-state outputs</t>
  </si>
  <si>
    <t>SM-8</t>
  </si>
  <si>
    <t>https://www.mouser.fr/ProductDetail/Texas-Instruments/74LVC2G241DCTRE4?qs=pajgIaoyDUiznWLk8MWiIA%3D%3D&amp;utm_id=10065920283</t>
  </si>
  <si>
    <t>embeddedSolutions</t>
  </si>
  <si>
    <t>communicationRF</t>
  </si>
  <si>
    <t>TXRX433</t>
  </si>
  <si>
    <t>GoTronic</t>
  </si>
  <si>
    <t>433MHz RX/TX</t>
  </si>
  <si>
    <t>Transceiver 433.92MHz</t>
  </si>
  <si>
    <t>ASK</t>
  </si>
  <si>
    <t>https://www.gotronic.fr/art-kit-emetteur-recepteur-433-mhz-txrx433-36883.htm</t>
  </si>
  <si>
    <t>DC-DC_Converters</t>
  </si>
  <si>
    <t>CUI Inc.</t>
  </si>
  <si>
    <t>PQQ6W-Q24-S15-S</t>
  </si>
  <si>
    <t>490-PQQ6W-Q24-S15-S</t>
  </si>
  <si>
    <t>Isolated DC-DC</t>
  </si>
  <si>
    <t>6W max, 9V-36V in</t>
  </si>
  <si>
    <t>SIP-7</t>
  </si>
  <si>
    <t>https://www.mouser.fr/datasheet/2/670/pqq6w_s-2474782.pdf</t>
  </si>
  <si>
    <t>https://www.mouser.fr/ProductDetail/CUI-Inc/PQQ6W-Q24-S15-S?qs=zW32dvEIR3vARH8AVKQkeg%3D%3D</t>
  </si>
  <si>
    <t>MPRB2415S-6W</t>
  </si>
  <si>
    <t>https://www.farnell.com/datasheets/3195174.pdf</t>
  </si>
  <si>
    <t>https://fr.farnell.com/multicomp-pro/mprb2415s-6w/convertisseur-dc-dc-15v-0-4a/dp/3652723</t>
  </si>
  <si>
    <t>Recom</t>
  </si>
  <si>
    <t>R-78B5.0-2.0</t>
  </si>
  <si>
    <t>139-2959</t>
  </si>
  <si>
    <t>Step-Down</t>
  </si>
  <si>
    <t>2A max, 6,5V - 32V in</t>
  </si>
  <si>
    <t>SIP3</t>
  </si>
  <si>
    <t>https://g.recomcdn.com/media/Datasheet/pdf/.fldP_2rX/.t124a6889b0e40eeb9ac1/Datasheet-285/R-78B-2_0.pdf</t>
  </si>
  <si>
    <t>https://fr.rs-online.com/web/p/regulateurs-a-decoupage/1392959</t>
  </si>
  <si>
    <t>171013801</t>
  </si>
  <si>
    <t>0,85V to 13V</t>
  </si>
  <si>
    <t>1A max, 3,5V - 38V in</t>
  </si>
  <si>
    <t>https://www.we-online.com/components/products/datasheet/171013801.pdf</t>
  </si>
  <si>
    <t>173950378</t>
  </si>
  <si>
    <t>3,3V</t>
  </si>
  <si>
    <t>500mA max, 6V - 28V in</t>
  </si>
  <si>
    <t>Type F</t>
  </si>
  <si>
    <t>https://www.we-online.com/components/products/datasheet/173950378.pdf</t>
  </si>
  <si>
    <t>173950536</t>
  </si>
  <si>
    <t>500mA max, 6,5V - 36V in</t>
  </si>
  <si>
    <t>https://www.we-online.com/components/products/datasheet/173950536.pdf</t>
  </si>
  <si>
    <t>17791063215</t>
  </si>
  <si>
    <t>3,3V to 6V</t>
  </si>
  <si>
    <t>1W max, 8V to 42V</t>
  </si>
  <si>
    <t>SIP-8</t>
  </si>
  <si>
    <t>https://www.we-online.com/components/products/datasheet/17791063215.pdf</t>
  </si>
  <si>
    <t>diodes</t>
  </si>
  <si>
    <t>Diodes Inc.</t>
  </si>
  <si>
    <t>1N4148WS-7-F</t>
  </si>
  <si>
    <t>1,25V</t>
  </si>
  <si>
    <t>Low signal diode</t>
  </si>
  <si>
    <t>150mA max</t>
  </si>
  <si>
    <t>SOD-323</t>
  </si>
  <si>
    <t>https://www.diodes.com/datasheet/download/1N4148WS.pdf</t>
  </si>
  <si>
    <t>https://fr.farnell.com/diodes-inc/1n4148ws-7-f/diodess-commutateur75v0-2wsod323/dp/1843678</t>
  </si>
  <si>
    <t>Littelfuse</t>
  </si>
  <si>
    <t>DST10100S</t>
  </si>
  <si>
    <t>10A</t>
  </si>
  <si>
    <t>Schottky</t>
  </si>
  <si>
    <t>0,7V, 100V max</t>
  </si>
  <si>
    <t>TO-227B</t>
  </si>
  <si>
    <t>https://www.littelfuse.com/media?resourcetype=datasheets&amp;itemid=912974f6-eef7-4845-b8b6-22945ea4a824&amp;filename=littelfuse-power-semiconductor-schottky-rectifier-dst10100s-datasheet</t>
  </si>
  <si>
    <t>https://fr.farnell.com/littelfuse/dst10100s/schottky-rectifier-100v-to-277b/dp/4066566</t>
  </si>
  <si>
    <t>FSV340AF</t>
  </si>
  <si>
    <t>3A</t>
  </si>
  <si>
    <t>0,5V, 40V max</t>
  </si>
  <si>
    <t>DO-214AD</t>
  </si>
  <si>
    <t>https://www.onsemi.com/pdf/datasheet/fsv340af-d.pdf</t>
  </si>
  <si>
    <t>https://fr.farnell.com/onsemi/fsv340af/diode-schottky-aec-q101-40v-do/dp/2824885</t>
  </si>
  <si>
    <t>STMicroElectronic</t>
  </si>
  <si>
    <t>STPS0520Z</t>
  </si>
  <si>
    <t>500mA</t>
  </si>
  <si>
    <t>20V max</t>
  </si>
  <si>
    <t>SOD-123</t>
  </si>
  <si>
    <t>https://www.st.com/resource/en/datasheet/stps0520z.pdf</t>
  </si>
  <si>
    <t>https://fr.farnell.com/stmicroelectronics/stps0520z/diode-schottky-2a-20v-cms-sod/dp/1467545</t>
  </si>
  <si>
    <t>USBLC6-2SC6</t>
  </si>
  <si>
    <t>624-7693</t>
  </si>
  <si>
    <t>6V</t>
  </si>
  <si>
    <t>TVS</t>
  </si>
  <si>
    <t>USB protection</t>
  </si>
  <si>
    <t>SOT-23</t>
  </si>
  <si>
    <t>https://www.st.com/resource/en/datasheet/usblc6-2.pdf</t>
  </si>
  <si>
    <t>https://fr.rs-online.com/web/p/diodes-tvs/6247693</t>
  </si>
  <si>
    <t>SS2P5-M3/84A</t>
  </si>
  <si>
    <t>2A</t>
  </si>
  <si>
    <t>0,62V, 50V max</t>
  </si>
  <si>
    <t>DO-220AA</t>
  </si>
  <si>
    <t>https://www.vishay.com/docs/88943/ss2p5.pdf</t>
  </si>
  <si>
    <t>https://fr.farnell.com/vishay/ss2p5-m3-84a/diode-rectifier-schottky-2a-50v/dp/1812486</t>
  </si>
  <si>
    <t>VS-15TQ060S-M3</t>
  </si>
  <si>
    <t>15A</t>
  </si>
  <si>
    <t>0,56V , 60V max</t>
  </si>
  <si>
    <t>TO-263AB</t>
  </si>
  <si>
    <t>https://www.vishay.com/docs/94927/vs-15tq060s-m3.pdf</t>
  </si>
  <si>
    <t>https://fr.farnell.com/vishay/vs-15tq060s-m3/diode-schottky-simple-60v-to263ab/dp/2909608</t>
  </si>
  <si>
    <t>gateDriver</t>
  </si>
  <si>
    <t>HCPL-315J_500E</t>
  </si>
  <si>
    <t>174-4163</t>
  </si>
  <si>
    <t>Dual Channel gate Driver optocoupler</t>
  </si>
  <si>
    <t>SO-16</t>
  </si>
  <si>
    <t>https://fr.rs-online.com/web/p/optocoupleurs/1744163</t>
  </si>
  <si>
    <t>gpioExpander</t>
  </si>
  <si>
    <t>NXP</t>
  </si>
  <si>
    <t>PCF8574TS/3,118</t>
  </si>
  <si>
    <t>219-4650</t>
  </si>
  <si>
    <t>8 channels</t>
  </si>
  <si>
    <t>I2C 8-channel gpio Expander</t>
  </si>
  <si>
    <t>2,5V - 6V</t>
  </si>
  <si>
    <t>SSOP20</t>
  </si>
  <si>
    <t>https://fr.rs-online.com/web/p/expandeurs-e-s/2194650</t>
  </si>
  <si>
    <t>Microchip</t>
  </si>
  <si>
    <t>MCP23017-E/SO</t>
  </si>
  <si>
    <t>403-816</t>
  </si>
  <si>
    <t>16 channels</t>
  </si>
  <si>
    <t>I2C 16-channel gpio Expander</t>
  </si>
  <si>
    <t>1V8 - 5V5</t>
  </si>
  <si>
    <t>SOIC-28</t>
  </si>
  <si>
    <t>https://fr.rs-online.com/web/p/expandeurs-e-s/0403816?gb=s&amp;searchId=5777323f-195c-44f1-b92f-cb4dbfb01835</t>
  </si>
  <si>
    <t>integratedCircuits</t>
  </si>
  <si>
    <t>MCP2120-I/SL</t>
  </si>
  <si>
    <t>312,5kBaud</t>
  </si>
  <si>
    <t>IrDA Encode/Decode</t>
  </si>
  <si>
    <t>UART to IR</t>
  </si>
  <si>
    <t>SOIC-14</t>
  </si>
  <si>
    <t>https://ww1.microchip.com/downloads/aemDocuments/documents/APID/ProductDocuments/DataSheets/21618b.pdf</t>
  </si>
  <si>
    <t>https://fr.farnell.com/microchip/mcp2120-i-sl/controleur-irda-cms/dp/1084305</t>
  </si>
  <si>
    <t>LM3404MA/NOPB</t>
  </si>
  <si>
    <t>926-LM3404MA/NOPB</t>
  </si>
  <si>
    <t>1A</t>
  </si>
  <si>
    <t>Led driver</t>
  </si>
  <si>
    <t>6V to 42V in</t>
  </si>
  <si>
    <t>SOIC-8</t>
  </si>
  <si>
    <t>https://www.ti.com/lit/ds/symlink/lm3404.pdf?ts=1730061548853</t>
  </si>
  <si>
    <t>ledDriver</t>
  </si>
  <si>
    <t>CA9685PW,118</t>
  </si>
  <si>
    <t xml:space="preserve">Driver LED, Bus I2C, 12 bits </t>
  </si>
  <si>
    <t>2,3 - 5,5V/25mA</t>
  </si>
  <si>
    <t>TSSOP-28</t>
  </si>
  <si>
    <t>https://fr.farnell.com/nxp/pca9685pw-118/driver-de-led-rgba-28-tssop/dp/1854074</t>
  </si>
  <si>
    <t>motorDriver</t>
  </si>
  <si>
    <t>Trinamic</t>
  </si>
  <si>
    <t>TMC2225-SA-T</t>
  </si>
  <si>
    <t>stepper driver</t>
  </si>
  <si>
    <t>Stepper, 1 output, PWM/UART input</t>
  </si>
  <si>
    <t>4,75V - 36V, 2A max</t>
  </si>
  <si>
    <t>HTSSOP-28</t>
  </si>
  <si>
    <t>https://fr.farnell.com/trinamic/tmc2225-sa-t/driver-de-moteur-2a-40-a-125-c/dp/3690353</t>
  </si>
  <si>
    <t>TMC2226-SAT-T</t>
  </si>
  <si>
    <t>4,75V - 29V, 2.8A max</t>
  </si>
  <si>
    <t>https://fr.farnell.com/trinamic/tmc2226-sa-t/driver-de-moteur-40-a-125-c/dp/3439216</t>
  </si>
  <si>
    <t>TMC2590-TA</t>
  </si>
  <si>
    <t>Stepper driver for two-phase bipolar motors with external MOSFETs, PWM/SPI input</t>
  </si>
  <si>
    <t>TQFP-EP</t>
  </si>
  <si>
    <t>https://fr.farnell.com/trinamic/tmc2590-ta/driver-de-moteur-40-a-125-c/dp/3237586</t>
  </si>
  <si>
    <t>powerManagementICs</t>
  </si>
  <si>
    <t>Analog Device</t>
  </si>
  <si>
    <t>LT1076CR#PBF</t>
  </si>
  <si>
    <t>584-LT1076CR#PBF</t>
  </si>
  <si>
    <t>2,5V to 50V</t>
  </si>
  <si>
    <t>2,6A max</t>
  </si>
  <si>
    <t>https://www.analog.com/media/en/technical-documentation/data-sheets/1074fds.pdf</t>
  </si>
  <si>
    <t>https://www.mouser.fr/ProductDetail/Analog-Devices/LT1076CRPBF?qs=ytflclh7QUUzWtSF1iWaww%3D%3D</t>
  </si>
  <si>
    <t>MAX5033DUSA+</t>
  </si>
  <si>
    <t>700-MAX5033DUSA</t>
  </si>
  <si>
    <t>1,25V to 13,2V</t>
  </si>
  <si>
    <t>500mA max, 7,5V to 76V in</t>
  </si>
  <si>
    <t>https://www.analog.com/media/en/technical-documentation/data-sheets/MAX5033.pdf</t>
  </si>
  <si>
    <t>https://www.mouser.fr/ProductDetail/Analog-Devices-Maxim-Integrated/MAX5033DUSA%2b?qs=Mqkh4jHMT8wLmeJI8jUixA%3D%3D</t>
  </si>
  <si>
    <t>AP1509-50SG-13</t>
  </si>
  <si>
    <t>751-2923</t>
  </si>
  <si>
    <t>2A max, 22V in, 150kHz</t>
  </si>
  <si>
    <t>SOP-8L</t>
  </si>
  <si>
    <t>https://www.diodes.com/datasheet/download/AP1509.pdf</t>
  </si>
  <si>
    <t>https://fr.rs-online.com/web/p/convertisseurs-buck/7512923</t>
  </si>
  <si>
    <t>AZ1117CH2-3.3TRG1</t>
  </si>
  <si>
    <t>LDO</t>
  </si>
  <si>
    <t>0,8A, max 18V</t>
  </si>
  <si>
    <t>SOT-223</t>
  </si>
  <si>
    <t>https://www.diodes.com/datasheet/download/AZ1117C.pdf</t>
  </si>
  <si>
    <t>https://fr.farnell.com/diodes-inc/az1117ch2-3-3trg1/ldo-fixe-3-3v-0-8a-20-a-125-c/dp/3483072</t>
  </si>
  <si>
    <t>AZ1117CH-3.3TRG1</t>
  </si>
  <si>
    <t>https://fr.farnell.com/diodes-inc/az1117ch-3-3trg1/ldo-fixe-3-3v-0-8a-20-a-125-c/dp/3483073</t>
  </si>
  <si>
    <t>AZ1117H-3.3TRE1</t>
  </si>
  <si>
    <t>921-0701</t>
  </si>
  <si>
    <t>1A max, max 20V</t>
  </si>
  <si>
    <t>https://www.diodes.com/datasheet/download/AZ1117.pdf</t>
  </si>
  <si>
    <t>https://fr.rs-online.com/web/p/regulateurs-de-tension/9210701</t>
  </si>
  <si>
    <t>MIC3172YM</t>
  </si>
  <si>
    <t>3V-40V</t>
  </si>
  <si>
    <t>Step-up</t>
  </si>
  <si>
    <t>1,25A</t>
  </si>
  <si>
    <t>https://ww1.microchip.com/downloads/aemDocuments/documents/OTH/ProductDocuments/DataSheets/MIC2172-3172-100kHz-1.25A-Switching-Regulators-DS20006208A.pdf</t>
  </si>
  <si>
    <t>https://fr.farnell.com/microchip/mic3172ym/ic-switching-reg-1-25a-100khz/dp/2510055</t>
  </si>
  <si>
    <t>MIC5219-3.3YMM</t>
  </si>
  <si>
    <t>500mA, max 12V</t>
  </si>
  <si>
    <t>SOP-8</t>
  </si>
  <si>
    <t>https://ww1.microchip.com/downloads/aemDocuments/documents/OTH/ProductDocuments/DataSheets/MIC5219-500mA-Peak-Output-LDO-Regulator-DS20006021A.pdf</t>
  </si>
  <si>
    <t>https://fr.farnell.com/microchip/mic5219-3-3ymm/ldo-reg-12vin-0-5a-3-3v-1-8msop/dp/2510255</t>
  </si>
  <si>
    <t>MIC5317-3.3YM5-TR</t>
  </si>
  <si>
    <t>150mA, max 6V</t>
  </si>
  <si>
    <t>https://ww1.microchip.com/downloads/aemDocuments/documents/OTH/ProductDocuments/DataSheets/MIC5317-High-Performance-Single-150mA-LDO-DS20006195B.pdf</t>
  </si>
  <si>
    <t>https://fr.farnell.com/microchip/mic5317-3-3ym5-tr/ldo-fixe-3-3v-015a-40-a-125-c/dp/2920683</t>
  </si>
  <si>
    <t>sensors</t>
  </si>
  <si>
    <t>current</t>
  </si>
  <si>
    <t>LEM</t>
  </si>
  <si>
    <t>GO 10-SME/SP3</t>
  </si>
  <si>
    <t>Galvanic isolation current sensor</t>
  </si>
  <si>
    <t>https://fr.farnell.com/lem/go-10-sme-sp3/capteur-courant-300khz-soic-8/dp/3796461</t>
  </si>
  <si>
    <t>Rohm</t>
  </si>
  <si>
    <t>BU18SD2MG-MTR</t>
  </si>
  <si>
    <t>1,8V</t>
  </si>
  <si>
    <t>200mA, max 6V in</t>
  </si>
  <si>
    <t>SSOP-5</t>
  </si>
  <si>
    <t>https://fscdn.rohm.com/en/products/databook/datasheet/ic/power/linear_regulator/buxxsd2mg-m-e.pdf</t>
  </si>
  <si>
    <t>https://fr.farnell.com/rohm/bu18sd2mg-mtr/ldo-fixe-aec-q100-1-8v-0-2a-ssop/dp/2546639</t>
  </si>
  <si>
    <t>BU33SD5WG-TR</t>
  </si>
  <si>
    <t>500mA, max 6V in</t>
  </si>
  <si>
    <t>https://fscdn.rohm.com/en/products/databook/datasheet/ic/power/linear_regulator/buxxsd5wg-e.pdf</t>
  </si>
  <si>
    <t>https://fr.farnell.com/rohm/bu33sd5wg-tr/ldo-fixe-3-3v-0-5a-40-a-105-c/dp/3011248</t>
  </si>
  <si>
    <t>quartz</t>
  </si>
  <si>
    <t>Ecliptek</t>
  </si>
  <si>
    <t>EC2620TS-25.000M TR</t>
  </si>
  <si>
    <t>25MHz</t>
  </si>
  <si>
    <t>Quartz</t>
  </si>
  <si>
    <t>15pF</t>
  </si>
  <si>
    <t>7mm x 5mm</t>
  </si>
  <si>
    <t>https://fr.farnell.com/ecliptek/ec2620ts-25-000m-tr/oscillateur-25mhz-lvcmos-7mm-x/dp/3572937</t>
  </si>
  <si>
    <t>Murata Electronics</t>
  </si>
  <si>
    <t>XRCGB27M120F3M00R0</t>
  </si>
  <si>
    <t>81-XRCGB27M120F3M0R0</t>
  </si>
  <si>
    <t>27,12MHz</t>
  </si>
  <si>
    <t>6pF</t>
  </si>
  <si>
    <t>2mm x 1,6mm</t>
  </si>
  <si>
    <t>https://www.mouser.fr/ProductDetail/Murata-Electronics/XRCGB27M120F3M00R0?qs=e%252BE4OD6MgMfl8qhJDYq%252BAg%3D%3D</t>
  </si>
  <si>
    <t>Abracon</t>
  </si>
  <si>
    <t>ABLS-16.000MHZ-20-B-3-H-T</t>
  </si>
  <si>
    <t>16Mhz</t>
  </si>
  <si>
    <t>11,5mm x 4,7mm</t>
  </si>
  <si>
    <t>https://fr.farnell.com/abracon/abls-16-000mhz-20-b-3-h-t/quartz-16mhz-20pf-cms-hc-49us/dp/3228387</t>
  </si>
  <si>
    <t>ABLS-7.3728MHZ-20-B-3-H-T</t>
  </si>
  <si>
    <t>7,3728MHz</t>
  </si>
  <si>
    <t>20pF</t>
  </si>
  <si>
    <t>https://fr.farnell.com/abracon/abls-7-3728mhz-20-b-3-h-t/quartz-7-3728mhz-20pf-cms-hc-49us/dp/3228448</t>
  </si>
  <si>
    <t>L78M05CDT-TR</t>
  </si>
  <si>
    <t>500mA, 10V-35V</t>
  </si>
  <si>
    <t>TO-252-3</t>
  </si>
  <si>
    <t>https://www.st.com/resource/en/datasheet/l78m.pdf</t>
  </si>
  <si>
    <t>https://fr.farnell.com/stmicroelectronics/l78m05cdt-tr/regulateur-de-tension-5v-0-5a/dp/2382524</t>
  </si>
  <si>
    <t>Power Integrations</t>
  </si>
  <si>
    <t>INN4073C-H183-TL</t>
  </si>
  <si>
    <t>228-6331</t>
  </si>
  <si>
    <t>1,7A</t>
  </si>
  <si>
    <t>Flyback</t>
  </si>
  <si>
    <t>60W</t>
  </si>
  <si>
    <t>https://fr.rs-online.com/web/p/convertisseurs-ac-dc/2286331</t>
  </si>
  <si>
    <t>phototransistor</t>
  </si>
  <si>
    <t>HCPL-817-300E</t>
  </si>
  <si>
    <t>Optocoupler phototransistor</t>
  </si>
  <si>
    <t>1,2V, 20mA</t>
  </si>
  <si>
    <t>Gull Wing</t>
  </si>
  <si>
    <t>https://fr.farnell.com/broadcom-limited/hcpl-817-300e/optocoupleur-tr-o-p-cms/dp/1244557</t>
  </si>
  <si>
    <t>CPZ1061M</t>
  </si>
  <si>
    <t>228-6322P</t>
  </si>
  <si>
    <t>75W</t>
  </si>
  <si>
    <t>https://fr.rs-online.com/web/p/convertisseurs-ac-dc/2286322P</t>
  </si>
  <si>
    <t>transceiverEth</t>
  </si>
  <si>
    <t>LAN8742A-CZ-TR</t>
  </si>
  <si>
    <t>100Mbits</t>
  </si>
  <si>
    <t>Transceiver Ethernet PHY, IEEE 802.3, IEEE 802.3u</t>
  </si>
  <si>
    <t>SQFN</t>
  </si>
  <si>
    <t>https://fr.farnell.com/microchip/lan8742a-cz-tr/transceiver-ethernet-10-100-mbps/dp/2857750</t>
  </si>
  <si>
    <t>transceiverRF</t>
  </si>
  <si>
    <t>Nordic Semiconductor</t>
  </si>
  <si>
    <t>NRF24L01P-R7</t>
  </si>
  <si>
    <t>Transceiver RF</t>
  </si>
  <si>
    <t>2.4GHz à 2.525GHz, GFSK</t>
  </si>
  <si>
    <t>2Mbps</t>
  </si>
  <si>
    <t>QFN-20</t>
  </si>
  <si>
    <t>https://fr.farnell.com/nordic-semiconductor/nrf24l01p-r7/transceiver-rf-2mbps-2-525ghz/dp/2842317</t>
  </si>
  <si>
    <t>IMU</t>
  </si>
  <si>
    <t>LSM6DSMTR</t>
  </si>
  <si>
    <t>accelerometer, gyroscope</t>
  </si>
  <si>
    <t>IMU,  ±16g</t>
  </si>
  <si>
    <t>1V7 - 3V6</t>
  </si>
  <si>
    <t>LGA-14L</t>
  </si>
  <si>
    <t>https://fr.farnell.com/stmicroelectronics/lsm6dsmtr/mems-accelero-gyroscope-3d-lga/dp/2664522</t>
  </si>
  <si>
    <t>transistors</t>
  </si>
  <si>
    <t>SQJ504EP-T1_GE3</t>
  </si>
  <si>
    <t>30A</t>
  </si>
  <si>
    <t>Dual Mosfet (N+P)</t>
  </si>
  <si>
    <t>40V max</t>
  </si>
  <si>
    <t>PowerPak SO</t>
  </si>
  <si>
    <t>https://www.vishay.com/docs/76029/sqj504ep.pdf</t>
  </si>
  <si>
    <t>https://fr.farnell.com/vishay/sqj504ep-t1-ge3/mosfet-aec-q101-canal-n-p-40v/dp/2886991</t>
  </si>
  <si>
    <t>RE1C002UNTCL</t>
  </si>
  <si>
    <t>200mA</t>
  </si>
  <si>
    <t>Mosfet N</t>
  </si>
  <si>
    <t>SOT-416FL</t>
  </si>
  <si>
    <t>https://fscdn.rohm.com/en/products/databook/datasheet/discrete/transistor/mosfet/re1c002untcl-e.pdf</t>
  </si>
  <si>
    <t>https://fr.farnell.com/rohm/re1c002untcl/mosfet-canal-n-20v-0-2a-150-c/dp/2965337</t>
  </si>
  <si>
    <t>Nexperia</t>
  </si>
  <si>
    <t>BUK9637-100E,118</t>
  </si>
  <si>
    <t>31A</t>
  </si>
  <si>
    <t>100V max</t>
  </si>
  <si>
    <t>TO-263</t>
  </si>
  <si>
    <t>https://assets.nexperia.com/documents/data-sheet/BUK9637-100E.pdf</t>
  </si>
  <si>
    <t>https://fr.farnell.com/nexperia/buk9637-100e-118/mosfet-n-ch-100v-31a-d2pak/dp/2254193</t>
  </si>
  <si>
    <t>Infineon</t>
  </si>
  <si>
    <t>IRF540NPBF</t>
  </si>
  <si>
    <t>914-8154</t>
  </si>
  <si>
    <t>33A</t>
  </si>
  <si>
    <t>33A max</t>
  </si>
  <si>
    <t>TO-220</t>
  </si>
  <si>
    <t>https://www.infineon.com/dgdl/Infineon-IRF540N-DataSheet-v01_01-EN.pdf?fileId=5546d462533600a4015355e39f0d19a1</t>
  </si>
  <si>
    <t>https://fr.rs-online.com/web/p/transistors-mosfet/9148154</t>
  </si>
  <si>
    <t>IRF510SPBF</t>
  </si>
  <si>
    <t xml:space="preserve">844-IRF510SPBF </t>
  </si>
  <si>
    <t>5,6A</t>
  </si>
  <si>
    <t>https://www.vishay.com/docs/91016/sihf510s.pdf</t>
  </si>
  <si>
    <t>https://www.mouser.fr/ProductDetail/Vishay-Semiconductors/IRF510SPBF?qs=iXwvDCb7I7jeKqUeAvChjw%3D%3D</t>
  </si>
  <si>
    <t>SQ2310ES-T1_BE3</t>
  </si>
  <si>
    <t>787-9443</t>
  </si>
  <si>
    <t>6A</t>
  </si>
  <si>
    <t>https://www.vishay.com/docs/67036/sq2310es.pdf</t>
  </si>
  <si>
    <t>https://fr.rs-online.com/web/p/transistors-mosfet/7879443</t>
  </si>
  <si>
    <t>BMP085</t>
  </si>
  <si>
    <t>IDUINO HC-05</t>
  </si>
  <si>
    <t>NRF24L05</t>
  </si>
  <si>
    <t>module LORA 113060006</t>
  </si>
  <si>
    <t>adafruit QT PY C3</t>
  </si>
  <si>
    <t>IMU 10DOF</t>
  </si>
  <si>
    <t>MAX3097ECSE+</t>
  </si>
  <si>
    <t>CY7C64225-28PVXCT</t>
  </si>
  <si>
    <t>CY7C64225-28PVXC</t>
  </si>
  <si>
    <t>SBC-TTL</t>
  </si>
  <si>
    <t>TCN75AVOA</t>
  </si>
  <si>
    <t xml:space="preserve">D265 </t>
  </si>
  <si>
    <t>Kemet</t>
  </si>
  <si>
    <t>CER-ENG-KIT-30</t>
  </si>
  <si>
    <t>867-5444</t>
  </si>
  <si>
    <t>10pF -&gt; 22uF, 6,3V -&gt; 100V</t>
  </si>
  <si>
    <t>0805</t>
  </si>
  <si>
    <t>https://content.kemet.com/datasheets/CER_ENG_KIT_30.pdf</t>
  </si>
  <si>
    <t>https://fr.rs-online.com/web/p/kits-de-condensateurs/8675444</t>
  </si>
  <si>
    <t>885080</t>
  </si>
  <si>
    <t>1nF -&gt; 22uF, 6,3V -&gt; 50V</t>
  </si>
  <si>
    <t>1206, 1210, 1812</t>
  </si>
  <si>
    <t>https://www.we-online.com/en/components/products/download/inlay/885080</t>
  </si>
  <si>
    <t>885060</t>
  </si>
  <si>
    <t>1pF -&gt; 10uF, 6,3V -&gt; 50V</t>
  </si>
  <si>
    <t>https://www.we-online.com/en/components/products/download/inlay/885060</t>
  </si>
  <si>
    <t>VJ0805HIFRQ2KITHT</t>
  </si>
  <si>
    <t>100pF -&gt; 1nF, 16V -&gt; 100V</t>
  </si>
  <si>
    <t>885070</t>
  </si>
  <si>
    <t>1pF -&gt; 47uF, 6,3V -&gt; 50V</t>
  </si>
  <si>
    <t>https://www.we-online.com/en/components/products/download/inlay/885070</t>
  </si>
  <si>
    <t>885012005055</t>
  </si>
  <si>
    <t>10p</t>
  </si>
  <si>
    <t>MLCC, NP0</t>
  </si>
  <si>
    <t>0402</t>
  </si>
  <si>
    <t>https://www.we-online.com/components/products/datasheet/885012005055.pdf</t>
  </si>
  <si>
    <t>885012005056</t>
  </si>
  <si>
    <t>15p</t>
  </si>
  <si>
    <t>https://www.we-online.com/components/products/datasheet/885012005056.pdf</t>
  </si>
  <si>
    <t>74404054068</t>
  </si>
  <si>
    <t>6u8</t>
  </si>
  <si>
    <t>Semi-shielded Power Inductor</t>
  </si>
  <si>
    <t>2,5A</t>
  </si>
  <si>
    <t>5040</t>
  </si>
  <si>
    <t>https://www.we-online.com/components/products/datasheet/74404054068.pdf</t>
  </si>
  <si>
    <t>74404052047</t>
  </si>
  <si>
    <t>2,3A</t>
  </si>
  <si>
    <t>5020</t>
  </si>
  <si>
    <t>https://www.we-online.com/components/products/datasheet/74404052047.pdf</t>
  </si>
  <si>
    <t>MCWR04X1003FTL</t>
  </si>
  <si>
    <t>100k</t>
  </si>
  <si>
    <t>General purpose</t>
  </si>
  <si>
    <t>62,5 mW, 1%</t>
  </si>
  <si>
    <t>https://4donline.ihs.com/images/VipMasterIC/IC/SCMP/SCMP-S-A0009547702/SCMP-S-A0009547702-1.pdf?hkey=6D3A4C79FDBF58556ACFDE234799DDF0</t>
  </si>
  <si>
    <t>https://fr.farnell.com/multicomp/mcwr04x1003ftl/res-couche-epaisse-100k-1-0-0625w/dp/2446411</t>
  </si>
  <si>
    <t>MCWR04X10R0FTL</t>
  </si>
  <si>
    <t>10R</t>
  </si>
  <si>
    <t>https://fr.farnell.com/multicomp/mcwr04x10r0ftl/res-couche-epaisse-10r-1-0-0625w/dp/2446415</t>
  </si>
  <si>
    <t>MCWR04X1001FTL</t>
  </si>
  <si>
    <t>1k</t>
  </si>
  <si>
    <t>https://fr.farnell.com/multicomp/mcwr04x1001ftl/resistance-thick-film-1kohm-1/dp/2446437</t>
  </si>
  <si>
    <t>MCWR04X1602FTL</t>
  </si>
  <si>
    <t>16k</t>
  </si>
  <si>
    <t>https://fr.farnell.com/multicomp/mcwr04x1602ftl/resistance-thick-film-16kohm-1/dp/2447114</t>
  </si>
  <si>
    <t>MCMR04X4022FTL</t>
  </si>
  <si>
    <t>40k2</t>
  </si>
  <si>
    <t>https://www.farnell.com/datasheets/2860635.pdf</t>
  </si>
  <si>
    <t>https://fr.farnell.com/multicomp-pro/mcmr04x4022ftl/res-ceramique-40-2k-1-0-0625w/dp/2073013</t>
  </si>
  <si>
    <t>MC00625W040217K68</t>
  </si>
  <si>
    <t>7k68</t>
  </si>
  <si>
    <t>https://www.farnell.com/datasheets/2861421.pdf</t>
  </si>
  <si>
    <t>https://fr.farnell.com/multicomp/mc00625w040217k68/res-couche-epaisse-7-68k-1-0-0625w/dp/1803125</t>
  </si>
  <si>
    <t>MCMR04X200 JTL</t>
  </si>
  <si>
    <t>20R</t>
  </si>
  <si>
    <t>62,5 mW, 5%</t>
  </si>
  <si>
    <t>https://fr.farnell.com/multicomp-pro/mcmr04x200-jtl/res-ceramique-20r-5-0-0625w-0402/dp/2072748</t>
  </si>
  <si>
    <t>885012106031</t>
  </si>
  <si>
    <t>MLCC, X5R</t>
  </si>
  <si>
    <t>https://www.we-online.com/components/products/datasheet/885012106031.pdf</t>
  </si>
  <si>
    <t>connector</t>
  </si>
  <si>
    <t>powerJacks</t>
  </si>
  <si>
    <t>694001</t>
  </si>
  <si>
    <t>Power jacks</t>
  </si>
  <si>
    <t>https://www.we-online.com/en/components/products/download/inlay/694001</t>
  </si>
  <si>
    <t>pinHeader_pinSocket</t>
  </si>
  <si>
    <t>613001</t>
  </si>
  <si>
    <t>Pin Header connectors</t>
  </si>
  <si>
    <t>SMD, THT</t>
  </si>
  <si>
    <t>1.27mm, 2mm, 2.54mm</t>
  </si>
  <si>
    <t>https://www.we-online.com/en/components/products/download/inlay/613001</t>
  </si>
  <si>
    <t>150151</t>
  </si>
  <si>
    <t>PLCC, THT, Ceramic LEDS</t>
  </si>
  <si>
    <t>https://www.we-online.com/en/components/products/download/inlay/150151</t>
  </si>
  <si>
    <t>158300</t>
  </si>
  <si>
    <t>PLCC, Ceramic LED</t>
  </si>
  <si>
    <t>White LEDs</t>
  </si>
  <si>
    <t>https://www.we-online.com/en/components/products/download/inlay/158300</t>
  </si>
  <si>
    <t>Yageo</t>
  </si>
  <si>
    <t>AC0805FR-07100KL</t>
  </si>
  <si>
    <t>197-8152</t>
  </si>
  <si>
    <t>General Purpose</t>
  </si>
  <si>
    <t>125mW, 1%</t>
  </si>
  <si>
    <t>https://www.yageo.com/upload/media/product/productsearch/datasheet/rchip/PYu-AC_51_RoHS_L_11.pdf</t>
  </si>
  <si>
    <t>https://fr.rs-online.com/web/p/resistances-a-montage-en-surface/1978152</t>
  </si>
  <si>
    <t>784770</t>
  </si>
  <si>
    <t>SMD Power Inductor</t>
  </si>
  <si>
    <t>1uH -&gt; 1mH</t>
  </si>
  <si>
    <t>1260, 1280, 1210</t>
  </si>
  <si>
    <t>https://www.we-online.com/components/products/datasheet/784770.pdf</t>
  </si>
  <si>
    <t>830002</t>
  </si>
  <si>
    <t>SMD Quartz Crytals</t>
  </si>
  <si>
    <t>https://www.we-online.com/en/components/products/download/inlay/830002</t>
  </si>
  <si>
    <t>560112</t>
  </si>
  <si>
    <t>0R -&gt; 1M</t>
  </si>
  <si>
    <t>https://www.we-online.com/en/components/products/download/inlay/560112</t>
  </si>
  <si>
    <t>830001</t>
  </si>
  <si>
    <t>32,768 kHz Quartz Crystal</t>
  </si>
  <si>
    <t>32,768kHz</t>
  </si>
  <si>
    <t>https://www.we-online.com/en/components/products/download/inlay/830001</t>
  </si>
  <si>
    <t>560114</t>
  </si>
  <si>
    <t>0805, 1206</t>
  </si>
  <si>
    <t>https://www.we-online.com/en/components/products/download/inlay/560114</t>
  </si>
  <si>
    <t>744790</t>
  </si>
  <si>
    <t>0,047uH -&gt; 22uH</t>
  </si>
  <si>
    <t>0603, 0805, 1206</t>
  </si>
  <si>
    <t>https://www.we-online.com/en/components/products/download/inlay/744790</t>
  </si>
  <si>
    <t>885012107019</t>
  </si>
  <si>
    <t>https://www.we-online.com/components/products/datasheet/885012107019.pdf</t>
  </si>
  <si>
    <t>885012106012</t>
  </si>
  <si>
    <t>https://www.we-online.com/components/products/datasheet/885012106012.pdf</t>
  </si>
  <si>
    <t>AC0805FR-0710KL</t>
  </si>
  <si>
    <t>197-8157</t>
  </si>
  <si>
    <t>10k</t>
  </si>
  <si>
    <t>https://fr.rs-online.com/web/p/resistances-a-montage-en-surface/1978157</t>
  </si>
  <si>
    <t>885012205086</t>
  </si>
  <si>
    <t>MLCC, X7R</t>
  </si>
  <si>
    <t>https://www.we-online.com/components/products/datasheet/885012205086.pdf</t>
  </si>
  <si>
    <t>885012214001</t>
  </si>
  <si>
    <t>2220</t>
  </si>
  <si>
    <t>https://www.we-online.com/components/products/datasheet/885012214001.pdf</t>
  </si>
  <si>
    <t>AC0805FR-071KL</t>
  </si>
  <si>
    <t>197-8172</t>
  </si>
  <si>
    <t>https://fr.rs-online.com/web/p/resistances-a-montage-en-surface/1978172?searchId=e42e332d-ec63-4204-8c92-dbbf7c407634&amp;gb=s</t>
  </si>
  <si>
    <t>885012205085</t>
  </si>
  <si>
    <t>https://www.we-online.com/components/products/datasheet/885012205085.pdf</t>
  </si>
  <si>
    <t>MP000459</t>
  </si>
  <si>
    <t>0R -&gt; 1M, 200mW, 1%</t>
  </si>
  <si>
    <t>https://www.farnell.com/datasheets/2830050.pdf</t>
  </si>
  <si>
    <t>https://fr.farnell.com/multicomp-pro/mp000459/kit-res-chip-0603-0-2w-1-6050pc/dp/3213383</t>
  </si>
  <si>
    <t>885012205067</t>
  </si>
  <si>
    <t>10n</t>
  </si>
  <si>
    <t>https://www.we-online.com/components/products/datasheet/885012205067.pdf</t>
  </si>
  <si>
    <t>MCVVT025M100CA1L</t>
  </si>
  <si>
    <t>4,0 x 5,4</t>
  </si>
  <si>
    <t>https://www.farnell.com/datasheets/3486024.pdf</t>
  </si>
  <si>
    <t>https://fr.farnell.com/multicomp/mcvvt025m100ca1l/condensateur-10-f-25v-cms/dp/2610879</t>
  </si>
  <si>
    <t>885012206076</t>
  </si>
  <si>
    <t>https://www.we-online.com/components/products/datasheet/885012206076.pdf</t>
  </si>
  <si>
    <t>RS Pro</t>
  </si>
  <si>
    <t>804-8760</t>
  </si>
  <si>
    <t>100R</t>
  </si>
  <si>
    <t>100mW</t>
  </si>
  <si>
    <t>https://docs.rs-online.com/9f65/0900766b8157cb2c.pdf</t>
  </si>
  <si>
    <t>https://fr.rs-online.com/web/p/resistances-a-montage-en-surface/8048760</t>
  </si>
  <si>
    <t>804-8845</t>
  </si>
  <si>
    <t>https://docs.rs-online.com/21eb/0900766b8157cb45.pdf</t>
  </si>
  <si>
    <t>https://fr.rs-online.com/web/p/resistances-a-montage-en-surface/8048845</t>
  </si>
  <si>
    <t>804-8921</t>
  </si>
  <si>
    <t>https://docs.rs-online.com/bc5c/0900766b8157cb5c.pdf</t>
  </si>
  <si>
    <t>https://fr.rs-online.com/web/p/resistances-a-montage-en-surface/8048921</t>
  </si>
  <si>
    <t>CRG0603ZR</t>
  </si>
  <si>
    <t>134-5428</t>
  </si>
  <si>
    <t>0R</t>
  </si>
  <si>
    <t>https://www.te.com/en/product-1623094-1.datasheet.pdf</t>
  </si>
  <si>
    <t>https://fr.rs-online.com/web/p/resistances-a-montage-en-surface/1345428</t>
  </si>
  <si>
    <t>CRG0805ZR</t>
  </si>
  <si>
    <t>134-5456</t>
  </si>
  <si>
    <t>https://www.te.com/en/product-1623401-1.datasheet.pdf</t>
  </si>
  <si>
    <t>https://fr.rs-online.com/web/p/resistances-a-montage-en-surface/1345456</t>
  </si>
  <si>
    <t>CRG1206F10K</t>
  </si>
  <si>
    <t>134-5524</t>
  </si>
  <si>
    <t>250mW, 1%</t>
  </si>
  <si>
    <t>1206</t>
  </si>
  <si>
    <t>https://www.te.com/en/product-1623404-1.datasheet.pdf</t>
  </si>
  <si>
    <t>https://fr.rs-online.com/web/p/resistances-a-montage-en-surface/1345524</t>
  </si>
  <si>
    <t>Samsung</t>
  </si>
  <si>
    <t>CL10B103KB8NNNC</t>
  </si>
  <si>
    <t>766-5373</t>
  </si>
  <si>
    <t>50V</t>
  </si>
  <si>
    <t>https://weblib.samsungsem.com/mlcc/mlcc-ec-data-sheet.do?partNumber=CL10B103KB8NNN</t>
  </si>
  <si>
    <t>https://fr.rs-online.com/web/p/condensateurs-ceramique-multicouches/7665373</t>
  </si>
  <si>
    <t>Panasonic Electronic Components</t>
  </si>
  <si>
    <t>ERJ8GEY0R00V</t>
  </si>
  <si>
    <t>176-3599</t>
  </si>
  <si>
    <t>https://industrial.panasonic.com/cdbs/www-data/pdf/RDA0000/AOA0000C301.pdf</t>
  </si>
  <si>
    <t>https://fr.rs-online.com/web/p/resistances-a-montage-en-surface/1763599</t>
  </si>
  <si>
    <t>CL10B104KB8NNNC</t>
  </si>
  <si>
    <t>766-5443</t>
  </si>
  <si>
    <t>https://weblib.samsungsem.com/mlcc/mlcc-ec-data-sheet.do?partNumber=CL10B104KB8NNN</t>
  </si>
  <si>
    <t>https://fr.rs-online.com/web/p/condensateurs-ceramique-multicouches/7665443</t>
  </si>
  <si>
    <t>ECJ-2VB1E104K</t>
  </si>
  <si>
    <t>Digikey</t>
  </si>
  <si>
    <t>PCC1828TR-ND</t>
  </si>
  <si>
    <t>https://mm.digikey.com/Volume0/opasdata/d220001/medias/docus/1097/ECJ_%28General%29.pdf</t>
  </si>
  <si>
    <t>https://www.digikey.fr/fr/products/detail/panasonic-electronic-components/ECJ-2VB1E104K/270298</t>
  </si>
  <si>
    <t>TA-I Technology Co.</t>
  </si>
  <si>
    <t>RM10JTN103</t>
  </si>
  <si>
    <t>MCR10 EZH JW111E</t>
  </si>
  <si>
    <t>110R</t>
  </si>
  <si>
    <t>RC0805FR-07100KL</t>
  </si>
  <si>
    <t>199-5648</t>
  </si>
  <si>
    <t>https://www.yageo.com/upload/media/product/productsearch/datasheet/rchip/PYu-RC_Group_51_RoHS_L_12.pdf</t>
  </si>
  <si>
    <t>https://fr.rs-online.com/web/p/resistances-a-montage-en-surface/1995648</t>
  </si>
  <si>
    <t>RC0805FR-07100R</t>
  </si>
  <si>
    <t>618-5135</t>
  </si>
  <si>
    <t>https://fr.rs-online.com/web/p/resistances-a-montage-en-surface/6185135</t>
  </si>
  <si>
    <t>RC0805FR-0710KL</t>
  </si>
  <si>
    <t>618-5163</t>
  </si>
  <si>
    <t>https://fr.rs-online.com/web/p/resistances-a-montage-en-surface/6185163</t>
  </si>
  <si>
    <t>RC0805FR-07150RL</t>
  </si>
  <si>
    <t>242-6901</t>
  </si>
  <si>
    <t>150R</t>
  </si>
  <si>
    <t>https://fr.rs-online.com/web/p/resistances-a-montage-en-surface/2426901</t>
  </si>
  <si>
    <t>RC0805FR-071K5L</t>
  </si>
  <si>
    <t>199-5668</t>
  </si>
  <si>
    <t>1k5</t>
  </si>
  <si>
    <t>https://fr.rs-online.com/web/p/resistances-a-montage-en-surface/1995668</t>
  </si>
  <si>
    <t>RC0805FR-07200RL</t>
  </si>
  <si>
    <t>242-6929</t>
  </si>
  <si>
    <t>200R</t>
  </si>
  <si>
    <t>https://fr.rs-online.com/web/p/resistances-a-montage-en-surface/2426929</t>
  </si>
  <si>
    <t>RC0805FR-0720KL</t>
  </si>
  <si>
    <t>199-5679</t>
  </si>
  <si>
    <t>20k</t>
  </si>
  <si>
    <t>https://fr.rs-online.com/web/p/resistances-a-montage-en-surface/1995679</t>
  </si>
  <si>
    <t>GRM033R71H102KA12D</t>
  </si>
  <si>
    <t>185-2113</t>
  </si>
  <si>
    <t>1n</t>
  </si>
  <si>
    <t>0201</t>
  </si>
  <si>
    <t>https://search.murata.co.jp/Ceramy/image/img/A01X/G101/ENG/GRM033R71H102KA12-01A.pdf</t>
  </si>
  <si>
    <t>https://fr.rs-online.com/web/p/condensateurs-ceramique-multicouches/1852113</t>
  </si>
  <si>
    <t>RC0805FR-0722KL</t>
  </si>
  <si>
    <t>199-5686</t>
  </si>
  <si>
    <t>22k</t>
  </si>
  <si>
    <t>https://fr.rs-online.com/web/p/resistances-a-montage-en-surface/1995686</t>
  </si>
  <si>
    <t>RC0805FR-07240RL</t>
  </si>
  <si>
    <t>240R</t>
  </si>
  <si>
    <t>https://fr.rs-online.com/web/p/resistances-a-montage-en-surface/2426951</t>
  </si>
  <si>
    <t>RC0805FR-072KL</t>
  </si>
  <si>
    <t>199-5695</t>
  </si>
  <si>
    <t>2k</t>
  </si>
  <si>
    <t>https://fr.rs-online.com/web/p/resistances-a-montage-en-surface/1995695</t>
  </si>
  <si>
    <t>RC0805FR-07330RL</t>
  </si>
  <si>
    <t>242-6989</t>
  </si>
  <si>
    <t>330R</t>
  </si>
  <si>
    <t>https://fr.rs-online.com/web/p/resistances-a-montage-en-surface/2426989</t>
  </si>
  <si>
    <t>RC0805FR-0733KL</t>
  </si>
  <si>
    <t>33k</t>
  </si>
  <si>
    <t>https://fr.rs-online.com/web/p/resistances-a-montage-en-surface/1995708</t>
  </si>
  <si>
    <t>RC0805FR-0733RL</t>
  </si>
  <si>
    <t>33R</t>
  </si>
  <si>
    <t>https://fr.rs-online.com/web/p/resistances-a-montage-en-surface/2426991</t>
  </si>
  <si>
    <t>RC0805FR-07390KL</t>
  </si>
  <si>
    <t>242-6995</t>
  </si>
  <si>
    <t>390k</t>
  </si>
  <si>
    <t>https://fr.rs-online.com/web/p/resistances-a-montage-en-surface/2426995</t>
  </si>
  <si>
    <t>RC0805FR-07390RL</t>
  </si>
  <si>
    <t>199-5710</t>
  </si>
  <si>
    <t>390R</t>
  </si>
  <si>
    <t>https://fr.rs-online.com/web/p/resistances-a-montage-en-surface/1995710</t>
  </si>
  <si>
    <t>RC0805FR-07470RL</t>
  </si>
  <si>
    <t>242-7007</t>
  </si>
  <si>
    <t>470R</t>
  </si>
  <si>
    <t>https://fr.rs-online.com/web/p/resistances-a-montage-en-surface/2427007</t>
  </si>
  <si>
    <t>RC0805FR-074K7L</t>
  </si>
  <si>
    <t>242-7021</t>
  </si>
  <si>
    <t>4k7</t>
  </si>
  <si>
    <t>https://fr.rs-online.com/web/p/resistances-a-montage-en-surface/2427021</t>
  </si>
  <si>
    <t>RC0805FR-075K1L</t>
  </si>
  <si>
    <t>199-5732</t>
  </si>
  <si>
    <t>5k1</t>
  </si>
  <si>
    <t>https://fr.rs-online.com/web/p/resistances-a-montage-en-surface/1995732</t>
  </si>
  <si>
    <t>GRM21BR71C105KA01L</t>
  </si>
  <si>
    <t>490-1691-2-ND</t>
  </si>
  <si>
    <t>16V</t>
  </si>
  <si>
    <t>https://search.murata.co.jp/Ceramy/image/img/A01X/G101/ENG/GRM21BR71C105KA01-01A.pdf</t>
  </si>
  <si>
    <t>https://www.digikey.fr/fr/products/detail/murata-electronics/GRM21BR71C105KA01L/586698</t>
  </si>
  <si>
    <t>RC0805FR-075K6L</t>
  </si>
  <si>
    <t>199-5734</t>
  </si>
  <si>
    <t>5k6</t>
  </si>
  <si>
    <t>https://fr.rs-online.com/web/p/resistances-a-montage-en-surface/1995734</t>
  </si>
  <si>
    <t>RC0805FR-07715RL</t>
  </si>
  <si>
    <t>715R</t>
  </si>
  <si>
    <t>https://fr.farnell.com/yageo/rc0805fr-07715rl/res-715r-1-0-125w-thick-film-0805/dp/3952049</t>
  </si>
  <si>
    <t>RC0805JR-070RL</t>
  </si>
  <si>
    <t>199-5752</t>
  </si>
  <si>
    <t>https://fr.rs-online.com/web/p/resistances-a-montage-en-surface/1995752</t>
  </si>
  <si>
    <t>802-9618</t>
  </si>
  <si>
    <t>https://docs.rs-online.com/28d2/0900766b8157c903.pdf</t>
  </si>
  <si>
    <t>https://fr.rs-online.com/web/p/resistances-a-montage-en-surface/8029618</t>
  </si>
  <si>
    <t>MCR18 EZH JW202E</t>
  </si>
  <si>
    <t>802-9784</t>
  </si>
  <si>
    <t>https://docs.rs-online.com/350b/0900766b8157c940.pdf</t>
  </si>
  <si>
    <t>https://fr.rs-online.com/web/p/resistances-a-montage-en-surface/8029784</t>
  </si>
  <si>
    <t>Stackpole Electronics Inc</t>
  </si>
  <si>
    <t>RMCF0805FT909K</t>
  </si>
  <si>
    <t>RMCF0805FT909KTR-ND</t>
  </si>
  <si>
    <t>909k</t>
  </si>
  <si>
    <t>https://www.seielect.com/catalog/sei-rmcf_rmcp.pdf</t>
  </si>
  <si>
    <t>https://www.digikey.fr/fr/products/detail/stackpole-electronics-inc/RMCF0805FT909K/1760269</t>
  </si>
  <si>
    <t>Philips</t>
  </si>
  <si>
    <t>CC0805KRX7R9BB681</t>
  </si>
  <si>
    <t>680p</t>
  </si>
  <si>
    <t>https://www.yageo.com/en/Chart/Download/pdf/CC0805KRX7R9BB681</t>
  </si>
  <si>
    <t>https://fr.farnell.com/yageo/cc0805krx7r9bb681/condensateur-680pf-50v-10-x7r/dp/3019860</t>
  </si>
  <si>
    <t>Kyocera AVX</t>
  </si>
  <si>
    <t>TAJV226K050RNJ</t>
  </si>
  <si>
    <t>Tantalum</t>
  </si>
  <si>
    <t>35V</t>
  </si>
  <si>
    <t>7361-38</t>
  </si>
  <si>
    <t>https://docs.rs-online.com/1e78/0900766b815b838f.pdf</t>
  </si>
  <si>
    <t>https://fr.rs-online.com/web/p/condensateurs-tantale/1355458</t>
  </si>
  <si>
    <t>General purpose resistors, MLCC capacitors</t>
  </si>
  <si>
    <t>0R -&gt; 2M, 22pF -&gt;1uF</t>
  </si>
  <si>
    <t>https://www.gotronic.fr/art-resistances-et-condensateurs-0603-20693.htm</t>
  </si>
  <si>
    <t>MP000460</t>
  </si>
  <si>
    <t>0R -&gt; 1M, 330mW, 1%</t>
  </si>
  <si>
    <t>293D104X9050A2TE3</t>
  </si>
  <si>
    <t>3216-18</t>
  </si>
  <si>
    <t>https://www.farnell.com/datasheets/2899258.pdf</t>
  </si>
  <si>
    <t>https://fr.farnell.com/en-FR/vishay/293d104x9050a2te3/tantalum-capacitor-0-1uf-50v-19/dp/9302727</t>
  </si>
  <si>
    <t>824599</t>
  </si>
  <si>
    <t>TVS Diode</t>
  </si>
  <si>
    <t>https://www.we-online.com/en/components/products/download/inlay/824599</t>
  </si>
  <si>
    <t>STM32F446ZCT6</t>
  </si>
  <si>
    <t>STM32G431CBU6</t>
  </si>
  <si>
    <t>STM32U535RET6Q</t>
  </si>
  <si>
    <t>STM32F0360K6T6</t>
  </si>
  <si>
    <t>STM32G474RET6</t>
  </si>
  <si>
    <t>STM32G4A1REI6</t>
  </si>
  <si>
    <t>STM32F201K6T6</t>
  </si>
  <si>
    <t>STM32L412KBT6</t>
  </si>
  <si>
    <t>STM32H573RIT6</t>
  </si>
  <si>
    <t>STM32U535RET6</t>
  </si>
  <si>
    <t>STM32G431KBT6</t>
  </si>
  <si>
    <t>STM32G491CET6</t>
  </si>
  <si>
    <t>Categories</t>
  </si>
  <si>
    <t>Sub-categories</t>
  </si>
  <si>
    <t>Sub-sub-categories</t>
  </si>
  <si>
    <t>id</t>
  </si>
  <si>
    <t>name</t>
  </si>
  <si>
    <t>category</t>
  </si>
  <si>
    <t>sub-category</t>
  </si>
  <si>
    <t>circuitProtection</t>
  </si>
  <si>
    <t>ESD_TVS</t>
  </si>
  <si>
    <t>computing</t>
  </si>
  <si>
    <t>sbc</t>
  </si>
  <si>
    <t>fuseHolders</t>
  </si>
  <si>
    <t xml:space="preserve">semiconductors  </t>
  </si>
  <si>
    <t>discreteSemiconductors</t>
  </si>
  <si>
    <t>electromechanical</t>
  </si>
  <si>
    <t>fuses</t>
  </si>
  <si>
    <t>Dupont</t>
  </si>
  <si>
    <t>batteryManagement</t>
  </si>
  <si>
    <t>JST</t>
  </si>
  <si>
    <t>voltageRegulators</t>
  </si>
  <si>
    <t>motors</t>
  </si>
  <si>
    <t>XH 2,5mm</t>
  </si>
  <si>
    <t>relays</t>
  </si>
  <si>
    <t>PH 2,0mm</t>
  </si>
  <si>
    <t>2,54mm</t>
  </si>
  <si>
    <t>thermalManagement</t>
  </si>
  <si>
    <t>developmentKits</t>
  </si>
  <si>
    <t>servo-motors</t>
  </si>
  <si>
    <t>wireCables</t>
  </si>
  <si>
    <t>sensorModules</t>
  </si>
  <si>
    <t>DC-motors</t>
  </si>
  <si>
    <t>tools</t>
  </si>
  <si>
    <t>AC-motors</t>
  </si>
  <si>
    <t>stepper-motors</t>
  </si>
  <si>
    <t>potentiometers</t>
  </si>
  <si>
    <t>soldering</t>
  </si>
  <si>
    <t>solder</t>
  </si>
  <si>
    <t>solderFlux</t>
  </si>
  <si>
    <t>signalTransformers</t>
  </si>
  <si>
    <t>irons</t>
  </si>
  <si>
    <t>embeddedProcessors</t>
  </si>
  <si>
    <t>memoryICs</t>
  </si>
  <si>
    <t>wireless_RFSemiconductors</t>
  </si>
  <si>
    <t>audio</t>
  </si>
  <si>
    <t>encoders</t>
  </si>
  <si>
    <t>magnetic</t>
  </si>
  <si>
    <t>pressure</t>
  </si>
  <si>
    <t>prximity</t>
  </si>
  <si>
    <t>temperature</t>
  </si>
  <si>
    <t>fans</t>
  </si>
  <si>
    <t>heatSinks</t>
  </si>
  <si>
    <t>cableAssemblies</t>
  </si>
  <si>
    <t>multiConductorCables</t>
  </si>
  <si>
    <t>website</t>
  </si>
  <si>
    <t>country</t>
  </si>
  <si>
    <t>https://fr.farnell.com/</t>
  </si>
  <si>
    <t>FR</t>
  </si>
  <si>
    <t>https://fr.rs-online.com/</t>
  </si>
  <si>
    <t>https://www.mouser.fr/</t>
  </si>
  <si>
    <t>USA</t>
  </si>
  <si>
    <t>https://www.gotronic.fr/</t>
  </si>
  <si>
    <t>Amazon</t>
  </si>
  <si>
    <t>https://business.amazon.fr/</t>
  </si>
  <si>
    <t>https://www.digikey.fr/</t>
  </si>
  <si>
    <t>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</si>
</sst>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Aptos Narrow"/>
      <family val="2"/>
      <charset val="1"/>
    </font>
    <font>
      <b/>
      <sz val="18"/>
      <color rgb="FFFFFFFF"/>
      <name val="Aptos Narrow"/>
      <family val="2"/>
      <charset val="1"/>
    </font>
    <font>
      <b/>
      <sz val="14"/>
      <color rgb="FFFFFFFF"/>
      <name val="Aptos Narrow"/>
      <family val="2"/>
      <charset val="1"/>
    </font>
    <font>
      <sz val="11"/>
      <color rgb="FFFFFFFF"/>
      <name val="Aptos Narrow"/>
      <family val="2"/>
      <charset val="1"/>
    </font>
    <font>
      <u/>
      <sz val="11"/>
      <color theme="10"/>
      <name val="Aptos Narrow"/>
      <family val="2"/>
      <charset val="1"/>
    </font>
    <font>
      <sz val="11"/>
      <color theme="0"/>
      <name val="Aptos Narrow"/>
      <family val="2"/>
      <charset val="1"/>
    </font>
    <font>
      <b/>
      <sz val="11"/>
      <color theme="0"/>
      <name val="Aptos Narrow"/>
      <family val="2"/>
      <charset val="1"/>
    </font>
    <font>
      <b/>
      <sz val="11"/>
      <color rgb="FFFFFFFF"/>
      <name val="Aptos Narrow"/>
      <family val="2"/>
      <charset val="1"/>
    </font>
    <font>
      <sz val="11"/>
      <color rgb="FFFF0000"/>
      <name val="Aptos Narrow"/>
      <family val="2"/>
      <charset val="1"/>
    </font>
    <font>
      <u/>
      <sz val="11"/>
      <color rgb="FF000000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3" fillId="2" borderId="0" xfId="0" applyFont="1" applyFill="1"/>
    <xf numFmtId="0" fontId="5" fillId="3" borderId="0" xfId="0" applyFont="1" applyFill="1"/>
    <xf numFmtId="0" fontId="4" fillId="0" borderId="0" xfId="1"/>
    <xf numFmtId="0" fontId="0" fillId="0" borderId="4" xfId="0" applyBorder="1"/>
    <xf numFmtId="0" fontId="0" fillId="0" borderId="5" xfId="0" applyBorder="1"/>
    <xf numFmtId="0" fontId="6" fillId="3" borderId="0" xfId="0" applyFont="1" applyFill="1"/>
    <xf numFmtId="0" fontId="7" fillId="3" borderId="0" xfId="0" applyFont="1" applyFill="1"/>
    <xf numFmtId="0" fontId="4" fillId="0" borderId="4" xfId="1" applyBorder="1"/>
    <xf numFmtId="49" fontId="0" fillId="0" borderId="0" xfId="0" applyNumberFormat="1"/>
    <xf numFmtId="0" fontId="0" fillId="0" borderId="0" xfId="0" quotePrefix="1"/>
    <xf numFmtId="0" fontId="8" fillId="0" borderId="0" xfId="0" applyFont="1"/>
    <xf numFmtId="0" fontId="8" fillId="0" borderId="5" xfId="0" applyFont="1" applyBorder="1"/>
    <xf numFmtId="0" fontId="0" fillId="0" borderId="0" xfId="0" applyAlignment="1">
      <alignment horizontal="left"/>
    </xf>
    <xf numFmtId="0" fontId="9" fillId="0" borderId="4" xfId="1" applyFont="1" applyBorder="1"/>
    <xf numFmtId="0" fontId="9" fillId="0" borderId="0" xfId="1" applyFo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</cellXfs>
  <cellStyles count="2">
    <cellStyle name="Lien hypertexte" xfId="1" builtinId="8"/>
    <cellStyle name="Normal" xfId="0" builtinId="0"/>
  </cellStyles>
  <dxfs count="11">
    <dxf>
      <font>
        <color theme="0"/>
      </font>
      <fill>
        <patternFill patternType="solid">
          <fgColor indexed="64"/>
          <bgColor theme="1"/>
        </patternFill>
      </fill>
    </dxf>
    <dxf>
      <font>
        <color theme="0"/>
      </font>
      <fill>
        <patternFill patternType="solid">
          <fgColor indexed="64"/>
          <bgColor theme="1"/>
        </patternFill>
      </fill>
    </dxf>
    <dxf>
      <font>
        <b/>
      </font>
      <fill>
        <patternFill patternType="solid">
          <fgColor indexed="64"/>
          <bgColor theme="1"/>
        </patternFill>
      </fill>
    </dxf>
    <dxf>
      <font>
        <b/>
        <color theme="0"/>
      </font>
      <fill>
        <patternFill patternType="solid">
          <fgColor indexed="64"/>
          <bgColor theme="1"/>
        </patternFill>
      </fill>
    </dxf>
    <dxf>
      <border>
        <left style="medium">
          <color rgb="FF000000"/>
        </left>
      </border>
    </dxf>
    <dxf>
      <border>
        <left style="medium">
          <color rgb="FF000000"/>
        </left>
      </border>
    </dxf>
    <dxf>
      <border>
        <left style="medium">
          <color rgb="FF000000"/>
        </left>
      </border>
    </dxf>
    <dxf>
      <alignment horizontal="left"/>
    </dxf>
    <dxf>
      <numFmt numFmtId="30" formatCode="@"/>
    </dxf>
    <dxf>
      <border>
        <left style="medium">
          <color rgb="FF000000"/>
        </left>
      </border>
    </dxf>
    <dxf>
      <border>
        <left style="medium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_components" displayName="table_components" ref="A2:U549" totalsRowShown="0">
  <autoFilter ref="A2:U549" xr:uid="{00000000-0009-0000-0100-000002000000}"/>
  <sortState xmlns:xlrd2="http://schemas.microsoft.com/office/spreadsheetml/2017/richdata2" ref="A3:U549">
    <sortCondition ref="J2:J549"/>
  </sortState>
  <tableColumns count="21">
    <tableColumn id="1" xr3:uid="{00000000-0010-0000-0000-000001000000}" name="Category" dataDxfId="10"/>
    <tableColumn id="2" xr3:uid="{00000000-0010-0000-0000-000002000000}" name="Sub-Category"/>
    <tableColumn id="3" xr3:uid="{00000000-0010-0000-0000-000003000000}" name="Sub-sub-Category"/>
    <tableColumn id="5" xr3:uid="{00000000-0010-0000-0000-000005000000}" name="Manufacturer" dataDxfId="9"/>
    <tableColumn id="6" xr3:uid="{00000000-0010-0000-0000-000006000000}" name="MPN" dataDxfId="8"/>
    <tableColumn id="7" xr3:uid="{00000000-0010-0000-0000-000007000000}" name="Supplier"/>
    <tableColumn id="8" xr3:uid="{00000000-0010-0000-0000-000008000000}" name="Supplier Ref" dataDxfId="7"/>
    <tableColumn id="12" xr3:uid="{CDF368D3-4528-416A-9AED-7F8F7B937C4D}" name="Quantity" dataDxfId="6"/>
    <tableColumn id="11" xr3:uid="{D112280D-B9E1-47BA-9FCB-7254935F168E}" name="Value"/>
    <tableColumn id="21" xr3:uid="{64B97EE2-EA81-4C7D-924F-C5ED2E765F19}" name="Type"/>
    <tableColumn id="18" xr3:uid="{55BA0283-AB30-4181-8F86-F4967DC460AA}" name="Comment"/>
    <tableColumn id="4" xr3:uid="{69FE2111-99E7-46DB-B5CF-5E3FFAB961F8}" name="SMD / THT"/>
    <tableColumn id="20" xr3:uid="{DECF873E-C4F0-4C25-8BF1-BB1A04C93FAF}" name="Footprint"/>
    <tableColumn id="9" xr3:uid="{00000000-0010-0000-0000-000009000000}" name="Datasheet" dataDxfId="5"/>
    <tableColumn id="10" xr3:uid="{00000000-0010-0000-0000-00000A000000}" name="Purchase"/>
    <tableColumn id="19" xr3:uid="{B1ECB93B-2706-4DB4-AF1F-23250FD6ED77}" name="KiCad Lib"/>
    <tableColumn id="13" xr3:uid="{00000000-0010-0000-0000-00000D000000}" name="Room" dataDxfId="4"/>
    <tableColumn id="14" xr3:uid="{00000000-0010-0000-0000-00000E000000}" name="Furniture"/>
    <tableColumn id="15" xr3:uid="{00000000-0010-0000-0000-00000F000000}" name="Drawer"/>
    <tableColumn id="16" xr3:uid="{00000000-0010-0000-0000-000010000000}" name="Column"/>
    <tableColumn id="17" xr3:uid="{00000000-0010-0000-0000-000011000000}" name="Raw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_categories" displayName="table_categories" ref="A2:B14" totalsRowShown="0">
  <autoFilter ref="A2:B14" xr:uid="{00000000-0009-0000-0100-000001000000}"/>
  <sortState xmlns:xlrd2="http://schemas.microsoft.com/office/spreadsheetml/2017/richdata2" ref="B3:B12">
    <sortCondition ref="B2:B12"/>
  </sortState>
  <tableColumns count="2">
    <tableColumn id="2" xr3:uid="{63BAD1E9-9612-4CC0-BC9F-BE6CDE8A0567}" name="id"/>
    <tableColumn id="1" xr3:uid="{00000000-0010-0000-0100-000001000000}" name="name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subcategories" displayName="table_subcategories" ref="D2:F112" totalsRowShown="0" headerRowDxfId="3">
  <autoFilter ref="D2:F112" xr:uid="{00000000-0009-0000-0100-000003000000}"/>
  <sortState xmlns:xlrd2="http://schemas.microsoft.com/office/spreadsheetml/2017/richdata2" ref="D3:F112">
    <sortCondition ref="D2:D112"/>
  </sortState>
  <tableColumns count="3">
    <tableColumn id="3" xr3:uid="{AFA53490-9236-4B21-B684-76B894F17DF7}" name="id"/>
    <tableColumn id="1" xr3:uid="{00000000-0010-0000-0200-000001000000}" name="category"/>
    <tableColumn id="2" xr3:uid="{00000000-0010-0000-0200-000002000000}" name="name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subsubcategories" displayName="table_subsubcategories" ref="H2:K17" totalsRowShown="0" headerRowDxfId="2">
  <autoFilter ref="H2:K17" xr:uid="{00000000-0009-0000-0100-000004000000}"/>
  <tableColumns count="4">
    <tableColumn id="5" xr3:uid="{628AE1D1-F632-40ED-88D8-75DF957B8637}" name="id"/>
    <tableColumn id="1" xr3:uid="{00000000-0010-0000-0300-000001000000}" name="category"/>
    <tableColumn id="2" xr3:uid="{00000000-0010-0000-0300-000002000000}" name="sub-category"/>
    <tableColumn id="3" xr3:uid="{00000000-0010-0000-0300-000003000000}" name="name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654B91B-F58A-4360-AC35-38A02D4507DD}" name="table_supplier" displayName="table_supplier" ref="A2:C8" totalsRowShown="0" headerRowDxfId="1">
  <autoFilter ref="A2:C8" xr:uid="{0654B91B-F58A-4360-AC35-38A02D4507DD}"/>
  <tableColumns count="3">
    <tableColumn id="1" xr3:uid="{7D495720-7B64-4C3D-9119-B15B7C8AB727}" name="name"/>
    <tableColumn id="2" xr3:uid="{1C96E295-C99E-4A77-983D-BA626278AED4}" name="website"/>
    <tableColumn id="3" xr3:uid="{606ECBA5-8086-413C-8898-1C723A3478CE}" name="country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41FE814-2104-4E4E-9411-4BEFE5201055}" name="table_manufacturer" displayName="table_manufacturer" ref="A2:C38" totalsRowShown="0" headerRowDxfId="0">
  <autoFilter ref="A2:C38" xr:uid="{341FE814-2104-4E4E-9411-4BEFE5201055}"/>
  <tableColumns count="3">
    <tableColumn id="1" xr3:uid="{699A16A2-C279-4B30-9590-9142512C591D}" name="name"/>
    <tableColumn id="2" xr3:uid="{7BE6A46B-2E37-4C99-A159-9E62242B21A3}" name="website"/>
    <tableColumn id="3" xr3:uid="{325BB1C7-ADBE-421A-9C1A-D6620B57BDD4}" name="countr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we-online.com/components/products/datasheet/885012205067.pdf" TargetMode="External"/><Relationship Id="rId21" Type="http://schemas.openxmlformats.org/officeDocument/2006/relationships/hyperlink" Target="https://fr.farnell.com/vishay/ss2p5-m3-84a/diode-rectifier-schottky-2a-50v/dp/1812486" TargetMode="External"/><Relationship Id="rId63" Type="http://schemas.openxmlformats.org/officeDocument/2006/relationships/hyperlink" Target="https://www.we-online.com/components/products/datasheet/865060445005.pdf" TargetMode="External"/><Relationship Id="rId159" Type="http://schemas.openxmlformats.org/officeDocument/2006/relationships/hyperlink" Target="https://www.farnell.com/datasheets/2830050.pdf" TargetMode="External"/><Relationship Id="rId170" Type="http://schemas.openxmlformats.org/officeDocument/2006/relationships/hyperlink" Target="https://fr.rs-online.com/web/p/resistances-a-montage-en-surface/2426901" TargetMode="External"/><Relationship Id="rId226" Type="http://schemas.openxmlformats.org/officeDocument/2006/relationships/hyperlink" Target="https://www.yageo.com/upload/media/product/productsearch/datasheet/rchip/PYu-RC_Group_51_RoHS_L_12.pdf" TargetMode="External"/><Relationship Id="rId268" Type="http://schemas.openxmlformats.org/officeDocument/2006/relationships/hyperlink" Target="https://fr.farnell.com/microchip/lan8742a-cz-tr/transceiver-ethernet-10-100-mbps/dp/2857750" TargetMode="External"/><Relationship Id="rId32" Type="http://schemas.openxmlformats.org/officeDocument/2006/relationships/hyperlink" Target="https://fr.rs-online.com/web/p/regulateurs-a-decoupage/1392959" TargetMode="External"/><Relationship Id="rId74" Type="http://schemas.openxmlformats.org/officeDocument/2006/relationships/hyperlink" Target="https://www.analog.com/media/en/technical-documentation/data-sheets/MAX5033.pdf" TargetMode="External"/><Relationship Id="rId128" Type="http://schemas.openxmlformats.org/officeDocument/2006/relationships/hyperlink" Target="https://fr.farnell.com/multicomp/mcwr04x1602ftl/resistance-thick-film-16kohm-1/dp/2447114" TargetMode="External"/><Relationship Id="rId5" Type="http://schemas.openxmlformats.org/officeDocument/2006/relationships/hyperlink" Target="https://fr.farnell.com/te-connectivity/rlp73k3ar11ftdf/resis-mesure-courant-0r11-1-2w/dp/2805295" TargetMode="External"/><Relationship Id="rId95" Type="http://schemas.openxmlformats.org/officeDocument/2006/relationships/hyperlink" Target="https://fscdn.rohm.com/en/products/databook/datasheet/discrete/transistor/mosfet/re1c002untcl-e.pdf" TargetMode="External"/><Relationship Id="rId160" Type="http://schemas.openxmlformats.org/officeDocument/2006/relationships/hyperlink" Target="https://fr.farnell.com/multicomp/mcvvt025m100ca1l/condensateur-10-f-25v-cms/dp/2610879" TargetMode="External"/><Relationship Id="rId181" Type="http://schemas.openxmlformats.org/officeDocument/2006/relationships/hyperlink" Target="https://fr.rs-online.com/web/p/resistances-a-montage-en-surface/1995734" TargetMode="External"/><Relationship Id="rId216" Type="http://schemas.openxmlformats.org/officeDocument/2006/relationships/hyperlink" Target="https://www.yageo.com/upload/media/product/productsearch/datasheet/rchip/PYu-RC_Group_51_RoHS_L_12.pdf" TargetMode="External"/><Relationship Id="rId237" Type="http://schemas.openxmlformats.org/officeDocument/2006/relationships/hyperlink" Target="https://www.te.com/en/product-1623401-1.datasheet.pdf" TargetMode="External"/><Relationship Id="rId258" Type="http://schemas.openxmlformats.org/officeDocument/2006/relationships/hyperlink" Target="https://fr.farnell.com/abracon/abls-16-000mhz-20-b-3-h-t/quartz-16mhz-20pf-cms-hc-49us/dp/3228387" TargetMode="External"/><Relationship Id="rId22" Type="http://schemas.openxmlformats.org/officeDocument/2006/relationships/hyperlink" Target="https://fr.farnell.com/onsemi/fsv340af/diode-schottky-aec-q101-40v-do/dp/2824885" TargetMode="External"/><Relationship Id="rId43" Type="http://schemas.openxmlformats.org/officeDocument/2006/relationships/hyperlink" Target="https://www.we-online.com/components/products/datasheet/150060BS55040.pdf" TargetMode="External"/><Relationship Id="rId64" Type="http://schemas.openxmlformats.org/officeDocument/2006/relationships/hyperlink" Target="https://www.we-online.com/components/products/datasheet/865060453007.pdf" TargetMode="External"/><Relationship Id="rId118" Type="http://schemas.openxmlformats.org/officeDocument/2006/relationships/hyperlink" Target="https://www.we-online.com/components/products/datasheet/885012106012.pdf" TargetMode="External"/><Relationship Id="rId139" Type="http://schemas.openxmlformats.org/officeDocument/2006/relationships/hyperlink" Target="https://www.vishay.com/docs/45259/vjhifreq-designkit.pdf" TargetMode="External"/><Relationship Id="rId85" Type="http://schemas.openxmlformats.org/officeDocument/2006/relationships/hyperlink" Target="https://ww1.microchip.com/downloads/aemDocuments/documents/OTH/ProductDocuments/DataSheets/MIC2172-3172-100kHz-1.25A-Switching-Regulators-DS20006208A.pdf" TargetMode="External"/><Relationship Id="rId150" Type="http://schemas.openxmlformats.org/officeDocument/2006/relationships/hyperlink" Target="https://www.we-online.com/en/components/products/download/inlay/865061" TargetMode="External"/><Relationship Id="rId171" Type="http://schemas.openxmlformats.org/officeDocument/2006/relationships/hyperlink" Target="https://fr.rs-online.com/web/p/resistances-a-montage-en-surface/2426929" TargetMode="External"/><Relationship Id="rId192" Type="http://schemas.openxmlformats.org/officeDocument/2006/relationships/hyperlink" Target="https://www.digikey.fr/fr/products/detail/murata-electronics/GRM21BR71C105KA01L/586698" TargetMode="External"/><Relationship Id="rId206" Type="http://schemas.openxmlformats.org/officeDocument/2006/relationships/hyperlink" Target="https://docs.rs-online.com/bc5c/0900766b8157cb5c.pdf" TargetMode="External"/><Relationship Id="rId227" Type="http://schemas.openxmlformats.org/officeDocument/2006/relationships/hyperlink" Target="https://www.yageo.com/upload/media/product/productsearch/datasheet/rchip/PYu-RC_Group_51_RoHS_L_12.pdf" TargetMode="External"/><Relationship Id="rId248" Type="http://schemas.openxmlformats.org/officeDocument/2006/relationships/hyperlink" Target="https://www.we-online.com/components/products/datasheet/865080463017.pdf" TargetMode="External"/><Relationship Id="rId269" Type="http://schemas.openxmlformats.org/officeDocument/2006/relationships/hyperlink" Target="https://fr.farnell.com/trinamic/tmc2226-sa-t/driver-de-moteur-40-a-125-c/dp/3439216" TargetMode="External"/><Relationship Id="rId12" Type="http://schemas.openxmlformats.org/officeDocument/2006/relationships/hyperlink" Target="https://fr.farnell.com/diodes-inc/az1117ch-3-3trg1/ldo-fixe-3-3v-0-8a-20-a-125-c/dp/3483073" TargetMode="External"/><Relationship Id="rId33" Type="http://schemas.openxmlformats.org/officeDocument/2006/relationships/hyperlink" Target="https://fr.rs-online.com/web/p/transistors-mosfet/9148154" TargetMode="External"/><Relationship Id="rId108" Type="http://schemas.openxmlformats.org/officeDocument/2006/relationships/hyperlink" Target="https://www.vishay.com/docs/88943/ss2p5.pdf" TargetMode="External"/><Relationship Id="rId129" Type="http://schemas.openxmlformats.org/officeDocument/2006/relationships/hyperlink" Target="https://4donline.ihs.com/images/VipMasterIC/IC/SCMP/SCMP-S-A0009547702/SCMP-S-A0009547702-1.pdf?hkey=6D3A4C79FDBF58556ACFDE234799DDF0" TargetMode="External"/><Relationship Id="rId54" Type="http://schemas.openxmlformats.org/officeDocument/2006/relationships/hyperlink" Target="https://www.we-online.com/components/products/datasheet/744066005.pdf" TargetMode="External"/><Relationship Id="rId75" Type="http://schemas.openxmlformats.org/officeDocument/2006/relationships/hyperlink" Target="https://www.mouser.fr/datasheet/2/670/pqq6w_s-2474782.pdf" TargetMode="External"/><Relationship Id="rId96" Type="http://schemas.openxmlformats.org/officeDocument/2006/relationships/hyperlink" Target="https://www.st.com/resource/en/datasheet/l78m.pdf" TargetMode="External"/><Relationship Id="rId140" Type="http://schemas.openxmlformats.org/officeDocument/2006/relationships/hyperlink" Target="https://www.vishay.com/docs/45259/vjhifreq-designkit.pdf" TargetMode="External"/><Relationship Id="rId161" Type="http://schemas.openxmlformats.org/officeDocument/2006/relationships/hyperlink" Target="https://www.farnell.com/datasheets/3486024.pdf" TargetMode="External"/><Relationship Id="rId182" Type="http://schemas.openxmlformats.org/officeDocument/2006/relationships/hyperlink" Target="https://fr.rs-online.com/web/p/resistances-a-montage-en-surface/6185163" TargetMode="External"/><Relationship Id="rId217" Type="http://schemas.openxmlformats.org/officeDocument/2006/relationships/hyperlink" Target="https://www.yageo.com/upload/media/product/productsearch/datasheet/rchip/PYu-RC_Group_51_RoHS_L_12.pdf" TargetMode="External"/><Relationship Id="rId6" Type="http://schemas.openxmlformats.org/officeDocument/2006/relationships/hyperlink" Target="https://fr.farnell.com/rohm/bu33sd5wg-tr/ldo-fixe-3-3v-0-5a-40-a-105-c/dp/3011248" TargetMode="External"/><Relationship Id="rId238" Type="http://schemas.openxmlformats.org/officeDocument/2006/relationships/hyperlink" Target="https://www.te.com/en/product-1623404-1.datasheet.pdf" TargetMode="External"/><Relationship Id="rId259" Type="http://schemas.openxmlformats.org/officeDocument/2006/relationships/hyperlink" Target="https://fr.farnell.com/abracon/abls-7-3728mhz-20-b-3-h-t/quartz-7-3728mhz-20pf-cms-hc-49us/dp/3228448" TargetMode="External"/><Relationship Id="rId23" Type="http://schemas.openxmlformats.org/officeDocument/2006/relationships/hyperlink" Target="https://fr.farnell.com/vishay/sqj504ep-t1-ge3/mosfet-aec-q101-canal-n-p-40v/dp/2886991" TargetMode="External"/><Relationship Id="rId119" Type="http://schemas.openxmlformats.org/officeDocument/2006/relationships/hyperlink" Target="https://www.we-online.com/components/products/datasheet/74404054068.pdf" TargetMode="External"/><Relationship Id="rId270" Type="http://schemas.openxmlformats.org/officeDocument/2006/relationships/hyperlink" Target="https://fr.farnell.com/trinamic/tmc2225-sa-t/driver-de-moteur-2a-40-a-125-c/dp/3690353" TargetMode="External"/><Relationship Id="rId44" Type="http://schemas.openxmlformats.org/officeDocument/2006/relationships/hyperlink" Target="https://www.we-online.com/components/products/datasheet/150060GS55040.pdf" TargetMode="External"/><Relationship Id="rId65" Type="http://schemas.openxmlformats.org/officeDocument/2006/relationships/hyperlink" Target="https://www.we-online.com/components/products/datasheet/865060457009.pdf" TargetMode="External"/><Relationship Id="rId86" Type="http://schemas.openxmlformats.org/officeDocument/2006/relationships/hyperlink" Target="https://ww1.microchip.com/downloads/aemDocuments/documents/OTH/ProductDocuments/DataSheets/MIC5219-500mA-Peak-Output-LDO-Regulator-DS20006021A.pdf" TargetMode="External"/><Relationship Id="rId130" Type="http://schemas.openxmlformats.org/officeDocument/2006/relationships/hyperlink" Target="https://www.farnell.com/datasheets/2860635.pdf" TargetMode="External"/><Relationship Id="rId151" Type="http://schemas.openxmlformats.org/officeDocument/2006/relationships/hyperlink" Target="https://www.we-online.com/en/components/products/download/inlay/744790" TargetMode="External"/><Relationship Id="rId172" Type="http://schemas.openxmlformats.org/officeDocument/2006/relationships/hyperlink" Target="https://fr.rs-online.com/web/p/resistances-a-montage-en-surface/2426951" TargetMode="External"/><Relationship Id="rId193" Type="http://schemas.openxmlformats.org/officeDocument/2006/relationships/hyperlink" Target="https://fr.rs-online.com/web/p/resistances-a-montage-en-surface/1763599" TargetMode="External"/><Relationship Id="rId207" Type="http://schemas.openxmlformats.org/officeDocument/2006/relationships/hyperlink" Target="https://fr.rs-online.com/web/p/condensateurs-ceramique-multicouches/7665373" TargetMode="External"/><Relationship Id="rId228" Type="http://schemas.openxmlformats.org/officeDocument/2006/relationships/hyperlink" Target="https://www.yageo.com/upload/media/product/productsearch/datasheet/rchip/PYu-RC_Group_51_RoHS_L_12.pdf" TargetMode="External"/><Relationship Id="rId249" Type="http://schemas.openxmlformats.org/officeDocument/2006/relationships/hyperlink" Target="https://www.we-online.com/components/products/datasheet/7447860139.pdf" TargetMode="External"/><Relationship Id="rId13" Type="http://schemas.openxmlformats.org/officeDocument/2006/relationships/hyperlink" Target="https://fr.farnell.com/traco-power/tmp-15148/convertisseur-ac-dc-48v-0-3a-15w/dp/1672144" TargetMode="External"/><Relationship Id="rId109" Type="http://schemas.openxmlformats.org/officeDocument/2006/relationships/hyperlink" Target="https://www.vishay.com/docs/82495/tsop753.pdf" TargetMode="External"/><Relationship Id="rId260" Type="http://schemas.openxmlformats.org/officeDocument/2006/relationships/hyperlink" Target="https://fr.farnell.com/on-semiconductor/ncs199a3rsqt2g/ampli-musure-de-cour-40khz-40/dp/2981170" TargetMode="External"/><Relationship Id="rId34" Type="http://schemas.openxmlformats.org/officeDocument/2006/relationships/hyperlink" Target="https://fr.rs-online.com/web/p/diodes-tvs/6247693" TargetMode="External"/><Relationship Id="rId55" Type="http://schemas.openxmlformats.org/officeDocument/2006/relationships/hyperlink" Target="https://www.we-online.com/components/products/datasheet/74438356220.pdf" TargetMode="External"/><Relationship Id="rId76" Type="http://schemas.openxmlformats.org/officeDocument/2006/relationships/hyperlink" Target="https://www.mouser.fr/datasheet/2/109/C18481B-2944388.pdf" TargetMode="External"/><Relationship Id="rId97" Type="http://schemas.openxmlformats.org/officeDocument/2006/relationships/hyperlink" Target="https://www.st.com/resource/en/datasheet/stps0520z.pdf" TargetMode="External"/><Relationship Id="rId120" Type="http://schemas.openxmlformats.org/officeDocument/2006/relationships/hyperlink" Target="https://www.we-online.com/components/products/datasheet/74404052047.pdf" TargetMode="External"/><Relationship Id="rId141" Type="http://schemas.openxmlformats.org/officeDocument/2006/relationships/hyperlink" Target="https://www.we-online.com/components/products/datasheet/784770.pdf" TargetMode="External"/><Relationship Id="rId7" Type="http://schemas.openxmlformats.org/officeDocument/2006/relationships/hyperlink" Target="https://fr.farnell.com/rohm/bu18sd2mg-mtr/ldo-fixe-aec-q100-1-8v-0-2a-ssop/dp/2546639" TargetMode="External"/><Relationship Id="rId162" Type="http://schemas.openxmlformats.org/officeDocument/2006/relationships/hyperlink" Target="https://fr.farnell.com/yageo/rc0805fr-07715rl/res-715r-1-0-125w-thick-film-0805/dp/3952049" TargetMode="External"/><Relationship Id="rId183" Type="http://schemas.openxmlformats.org/officeDocument/2006/relationships/hyperlink" Target="https://fr.rs-online.com/web/p/resistances-a-montage-en-surface/1978157" TargetMode="External"/><Relationship Id="rId218" Type="http://schemas.openxmlformats.org/officeDocument/2006/relationships/hyperlink" Target="https://www.yageo.com/upload/media/product/productsearch/datasheet/rchip/PYu-RC_Group_51_RoHS_L_12.pdf" TargetMode="External"/><Relationship Id="rId239" Type="http://schemas.openxmlformats.org/officeDocument/2006/relationships/hyperlink" Target="https://mm.digikey.com/Volume0/opasdata/d220001/medias/docus/1097/ECJ_%28General%29.pdf" TargetMode="External"/><Relationship Id="rId250" Type="http://schemas.openxmlformats.org/officeDocument/2006/relationships/hyperlink" Target="https://www.we-online.com/components/products/datasheet/150060AS55040.pdf" TargetMode="External"/><Relationship Id="rId271" Type="http://schemas.openxmlformats.org/officeDocument/2006/relationships/hyperlink" Target="https://fr.farnell.com/trinamic/tmc2590-ta/driver-de-moteur-40-a-125-c/dp/3237586" TargetMode="External"/><Relationship Id="rId24" Type="http://schemas.openxmlformats.org/officeDocument/2006/relationships/hyperlink" Target="https://fr.farnell.com/rohm/re1c002untcl/mosfet-canal-n-20v-0-2a-150-c/dp/2965337" TargetMode="External"/><Relationship Id="rId45" Type="http://schemas.openxmlformats.org/officeDocument/2006/relationships/hyperlink" Target="https://www.we-online.com/components/products/datasheet/150060RS55040.pdf" TargetMode="External"/><Relationship Id="rId66" Type="http://schemas.openxmlformats.org/officeDocument/2006/relationships/hyperlink" Target="https://www.we-online.com/components/products/datasheet/865060462010.pdf" TargetMode="External"/><Relationship Id="rId87" Type="http://schemas.openxmlformats.org/officeDocument/2006/relationships/hyperlink" Target="https://ww1.microchip.com/downloads/aemDocuments/documents/OTH/ProductDocuments/DataSheets/MIC5317-High-Performance-Single-150mA-LDO-DS20006195B.pdf" TargetMode="External"/><Relationship Id="rId110" Type="http://schemas.openxmlformats.org/officeDocument/2006/relationships/hyperlink" Target="https://www.vishay.com/docs/94927/vs-15tq060s-m3.pdf" TargetMode="External"/><Relationship Id="rId131" Type="http://schemas.openxmlformats.org/officeDocument/2006/relationships/hyperlink" Target="https://fr.farnell.com/multicomp-pro/mcmr04x4022ftl/res-ceramique-40-2k-1-0-0625w/dp/2073013" TargetMode="External"/><Relationship Id="rId152" Type="http://schemas.openxmlformats.org/officeDocument/2006/relationships/hyperlink" Target="https://www.we-online.com/en/components/products/download/inlay/885080" TargetMode="External"/><Relationship Id="rId173" Type="http://schemas.openxmlformats.org/officeDocument/2006/relationships/hyperlink" Target="https://fr.rs-online.com/web/p/resistances-a-montage-en-surface/2426989" TargetMode="External"/><Relationship Id="rId194" Type="http://schemas.openxmlformats.org/officeDocument/2006/relationships/hyperlink" Target="https://fr.rs-online.com/web/p/resistances-a-montage-en-surface/8029618" TargetMode="External"/><Relationship Id="rId208" Type="http://schemas.openxmlformats.org/officeDocument/2006/relationships/hyperlink" Target="https://fr.rs-online.com/web/p/condensateurs-ceramique-multicouches/7665443" TargetMode="External"/><Relationship Id="rId229" Type="http://schemas.openxmlformats.org/officeDocument/2006/relationships/hyperlink" Target="https://www.yageo.com/upload/media/product/productsearch/datasheet/rchip/PYu-RC_Group_51_RoHS_L_12.pdf" TargetMode="External"/><Relationship Id="rId240" Type="http://schemas.openxmlformats.org/officeDocument/2006/relationships/hyperlink" Target="https://industrial.panasonic.com/cdbs/www-data/pdf/RDA0000/AOA0000C301.pdf" TargetMode="External"/><Relationship Id="rId261" Type="http://schemas.openxmlformats.org/officeDocument/2006/relationships/hyperlink" Target="https://www.mouser.fr/ProductDetail/Texas-Instruments/74LVC2G241DCTRE4?qs=pajgIaoyDUiznWLk8MWiIA%3D%3D&amp;utm_id=10065920283" TargetMode="External"/><Relationship Id="rId14" Type="http://schemas.openxmlformats.org/officeDocument/2006/relationships/hyperlink" Target="https://fr.farnell.com/multicomp-pro/mp-ld30-23b15r2/power-supply-ac-dc-15v-2a/dp/3780527" TargetMode="External"/><Relationship Id="rId35" Type="http://schemas.openxmlformats.org/officeDocument/2006/relationships/hyperlink" Target="https://fr.rs-online.com/web/p/transistors-mosfet/7879443" TargetMode="External"/><Relationship Id="rId56" Type="http://schemas.openxmlformats.org/officeDocument/2006/relationships/hyperlink" Target="https://www.we-online.com/components/products/datasheet/7447709220.pdf" TargetMode="External"/><Relationship Id="rId77" Type="http://schemas.openxmlformats.org/officeDocument/2006/relationships/hyperlink" Target="https://www.diodes.com/datasheet/download/1N4148WS.pdf" TargetMode="External"/><Relationship Id="rId100" Type="http://schemas.openxmlformats.org/officeDocument/2006/relationships/hyperlink" Target="https://www.te.com/commerce/DocumentDelivery/DDEController?Action=srchrtrv&amp;DocNm=1773269&amp;DocType=Data%20Sheet&amp;DocLang=English&amp;DocFormat=pdf&amp;PartCntxt=2-2176057-6" TargetMode="External"/><Relationship Id="rId8" Type="http://schemas.openxmlformats.org/officeDocument/2006/relationships/hyperlink" Target="https://fr.farnell.com/stmicroelectronics/l78m05cdt-tr/regulateur-de-tension-5v-0-5a/dp/2382524" TargetMode="External"/><Relationship Id="rId98" Type="http://schemas.openxmlformats.org/officeDocument/2006/relationships/hyperlink" Target="https://www.st.com/resource/en/datasheet/usblc6-2.pdf" TargetMode="External"/><Relationship Id="rId121" Type="http://schemas.openxmlformats.org/officeDocument/2006/relationships/hyperlink" Target="https://www.we-online.com/en/components/products/download/inlay/860010" TargetMode="External"/><Relationship Id="rId142" Type="http://schemas.openxmlformats.org/officeDocument/2006/relationships/hyperlink" Target="https://www.we-online.com/en/components/products/download/inlay/830002" TargetMode="External"/><Relationship Id="rId163" Type="http://schemas.openxmlformats.org/officeDocument/2006/relationships/hyperlink" Target="https://fr.farnell.com/yageo/cc0805krx7r9bb681/condensateur-680pf-50v-10-x7r/dp/3019860" TargetMode="External"/><Relationship Id="rId184" Type="http://schemas.openxmlformats.org/officeDocument/2006/relationships/hyperlink" Target="https://fr.rs-online.com/web/p/resistances-a-montage-en-surface/1995679" TargetMode="External"/><Relationship Id="rId219" Type="http://schemas.openxmlformats.org/officeDocument/2006/relationships/hyperlink" Target="https://www.yageo.com/upload/media/product/productsearch/datasheet/rchip/PYu-RC_Group_51_RoHS_L_12.pdf" TargetMode="External"/><Relationship Id="rId230" Type="http://schemas.openxmlformats.org/officeDocument/2006/relationships/hyperlink" Target="https://www.yageo.com/upload/media/product/productsearch/datasheet/rchip/PYu-AC_51_RoHS_L_11.pdf" TargetMode="External"/><Relationship Id="rId251" Type="http://schemas.openxmlformats.org/officeDocument/2006/relationships/hyperlink" Target="https://fr.rs-online.com/web/p/convertisseurs-ac-dc/2286331" TargetMode="External"/><Relationship Id="rId25" Type="http://schemas.openxmlformats.org/officeDocument/2006/relationships/hyperlink" Target="https://fr.farnell.com/nexperia/buk9637-100e-118/mosfet-n-ch-100v-31a-d2pak/dp/2254193" TargetMode="External"/><Relationship Id="rId46" Type="http://schemas.openxmlformats.org/officeDocument/2006/relationships/hyperlink" Target="https://www.we-online.com/components/products/datasheet/150060YS55040.pdf" TargetMode="External"/><Relationship Id="rId67" Type="http://schemas.openxmlformats.org/officeDocument/2006/relationships/hyperlink" Target="https://www.we-online.com/components/products/datasheet/865060463011.pdf" TargetMode="External"/><Relationship Id="rId272" Type="http://schemas.openxmlformats.org/officeDocument/2006/relationships/hyperlink" Target="https://www.gotronic.fr/art-kit-emetteur-recepteur-433-mhz-txrx433-36883.htm" TargetMode="External"/><Relationship Id="rId88" Type="http://schemas.openxmlformats.org/officeDocument/2006/relationships/hyperlink" Target="https://www.farnell.com/datasheets/3550987.pdf" TargetMode="External"/><Relationship Id="rId111" Type="http://schemas.openxmlformats.org/officeDocument/2006/relationships/hyperlink" Target="https://www.we-online.com/components/products/datasheet/885012205085.pdf" TargetMode="External"/><Relationship Id="rId132" Type="http://schemas.openxmlformats.org/officeDocument/2006/relationships/hyperlink" Target="https://www.farnell.com/datasheets/2861421.pdf" TargetMode="External"/><Relationship Id="rId153" Type="http://schemas.openxmlformats.org/officeDocument/2006/relationships/hyperlink" Target="https://www.we-online.com/en/components/products/download/inlay/885060" TargetMode="External"/><Relationship Id="rId174" Type="http://schemas.openxmlformats.org/officeDocument/2006/relationships/hyperlink" Target="https://fr.rs-online.com/web/p/resistances-a-montage-en-surface/1995710" TargetMode="External"/><Relationship Id="rId195" Type="http://schemas.openxmlformats.org/officeDocument/2006/relationships/hyperlink" Target="https://docs.rs-online.com/28d2/0900766b8157c903.pdf" TargetMode="External"/><Relationship Id="rId209" Type="http://schemas.openxmlformats.org/officeDocument/2006/relationships/hyperlink" Target="https://www.yageo.com/upload/media/product/productsearch/datasheet/rchip/PYu-RC_Group_51_RoHS_L_12.pdf" TargetMode="External"/><Relationship Id="rId220" Type="http://schemas.openxmlformats.org/officeDocument/2006/relationships/hyperlink" Target="https://www.yageo.com/upload/media/product/productsearch/datasheet/rchip/PYu-RC_Group_51_RoHS_L_12.pdf" TargetMode="External"/><Relationship Id="rId241" Type="http://schemas.openxmlformats.org/officeDocument/2006/relationships/hyperlink" Target="https://search.murata.co.jp/Ceramy/image/img/A01X/G101/ENG/GRM033R71H102KA12-01A.pdf" TargetMode="External"/><Relationship Id="rId15" Type="http://schemas.openxmlformats.org/officeDocument/2006/relationships/hyperlink" Target="https://fr.farnell.com/multicomp-pro/mp-lde06-20b05/alimentation-ac-dc-5v-1-2a/dp/3556397" TargetMode="External"/><Relationship Id="rId36" Type="http://schemas.openxmlformats.org/officeDocument/2006/relationships/hyperlink" Target="https://www.mouser.fr/ProductDetail/Analog-Devices/LT1076CRPBF?qs=ytflclh7QUUzWtSF1iWaww%3D%3D" TargetMode="External"/><Relationship Id="rId57" Type="http://schemas.openxmlformats.org/officeDocument/2006/relationships/hyperlink" Target="https://www.we-online.com/components/products/datasheet/744821120.pdf" TargetMode="External"/><Relationship Id="rId262" Type="http://schemas.openxmlformats.org/officeDocument/2006/relationships/hyperlink" Target="https://fr.farnell.com/broadcom-limited/hcpl-817-300e/optocoupleur-tr-o-p-cms/dp/1244557" TargetMode="External"/><Relationship Id="rId78" Type="http://schemas.openxmlformats.org/officeDocument/2006/relationships/hyperlink" Target="https://www.diodes.com/datasheet/download/AP1509.pdf" TargetMode="External"/><Relationship Id="rId99" Type="http://schemas.openxmlformats.org/officeDocument/2006/relationships/hyperlink" Target="https://www.te.com/commerce/DocumentDelivery/DDEController?Action=srchrtrv&amp;DocNm=1773269&amp;DocType=Data%20Sheet&amp;DocLang=English&amp;DocFormat=pdf&amp;PartCntxt=2-2176057-6" TargetMode="External"/><Relationship Id="rId101" Type="http://schemas.openxmlformats.org/officeDocument/2006/relationships/hyperlink" Target="https://www.te.com/commerce/DocumentDelivery/DDEController?Action=srchrtrv&amp;DocNm=1773269&amp;DocType=Data%20Sheet&amp;DocLang=English&amp;DocFormat=pdf&amp;PartCntxt=2-2176057-6" TargetMode="External"/><Relationship Id="rId122" Type="http://schemas.openxmlformats.org/officeDocument/2006/relationships/hyperlink" Target="https://fr.farnell.com/multicomp/mcwr04x1003ftl/res-couche-epaisse-100k-1-0-0625w/dp/2446411" TargetMode="External"/><Relationship Id="rId143" Type="http://schemas.openxmlformats.org/officeDocument/2006/relationships/hyperlink" Target="https://www.we-online.com/en/components/products/download/inlay/150151" TargetMode="External"/><Relationship Id="rId164" Type="http://schemas.openxmlformats.org/officeDocument/2006/relationships/hyperlink" Target="https://www.yageo.com/en/Chart/Download/pdf/CC0805KRX7R9BB681" TargetMode="External"/><Relationship Id="rId185" Type="http://schemas.openxmlformats.org/officeDocument/2006/relationships/hyperlink" Target="https://fr.rs-online.com/web/p/resistances-a-montage-en-surface/1995686" TargetMode="External"/><Relationship Id="rId9" Type="http://schemas.openxmlformats.org/officeDocument/2006/relationships/hyperlink" Target="https://fr.farnell.com/microchip/mic5219-3-3ymm/ldo-reg-12vin-0-5a-3-3v-1-8msop/dp/2510255" TargetMode="External"/><Relationship Id="rId210" Type="http://schemas.openxmlformats.org/officeDocument/2006/relationships/hyperlink" Target="https://www.yageo.com/upload/media/product/productsearch/datasheet/rchip/PYu-RC_Group_51_RoHS_L_12.pdf" TargetMode="External"/><Relationship Id="rId26" Type="http://schemas.openxmlformats.org/officeDocument/2006/relationships/hyperlink" Target="https://fr.farnell.com/stmicroelectronics/stps0520z/diode-schottky-2a-20v-cms-sod/dp/1467545" TargetMode="External"/><Relationship Id="rId231" Type="http://schemas.openxmlformats.org/officeDocument/2006/relationships/hyperlink" Target="https://www.yageo.com/upload/media/product/productsearch/datasheet/rchip/PYu-AC_51_RoHS_L_11.pdf" TargetMode="External"/><Relationship Id="rId252" Type="http://schemas.openxmlformats.org/officeDocument/2006/relationships/hyperlink" Target="https://fr.rs-online.com/web/p/convertisseurs-ac-dc/2286322P" TargetMode="External"/><Relationship Id="rId273" Type="http://schemas.openxmlformats.org/officeDocument/2006/relationships/table" Target="../tables/table1.xml"/><Relationship Id="rId47" Type="http://schemas.openxmlformats.org/officeDocument/2006/relationships/hyperlink" Target="https://fr.rs-online.com/web/p/resistances-a-montage-sur-chassis/1616160?srsltid=AfmBOop0jcqseR1NIzLS56Ms30h0mR5eTwPKPFeyTX_Ml5i3R1xd3X-E" TargetMode="External"/><Relationship Id="rId68" Type="http://schemas.openxmlformats.org/officeDocument/2006/relationships/hyperlink" Target="https://www.we-online.com/components/products/datasheet/865060640001.pdf" TargetMode="External"/><Relationship Id="rId89" Type="http://schemas.openxmlformats.org/officeDocument/2006/relationships/hyperlink" Target="https://www.farnell.com/datasheets/3155173.pdf" TargetMode="External"/><Relationship Id="rId112" Type="http://schemas.openxmlformats.org/officeDocument/2006/relationships/hyperlink" Target="https://www.we-online.com/components/products/datasheet/885012005056.pdf" TargetMode="External"/><Relationship Id="rId133" Type="http://schemas.openxmlformats.org/officeDocument/2006/relationships/hyperlink" Target="https://fr.farnell.com/multicomp/mc00625w040217k68/res-couche-epaisse-7-68k-1-0-0625w/dp/1803125" TargetMode="External"/><Relationship Id="rId154" Type="http://schemas.openxmlformats.org/officeDocument/2006/relationships/hyperlink" Target="https://www.we-online.com/en/components/products/download/inlay/885070" TargetMode="External"/><Relationship Id="rId175" Type="http://schemas.openxmlformats.org/officeDocument/2006/relationships/hyperlink" Target="https://fr.rs-online.com/web/p/resistances-a-montage-en-surface/2427007" TargetMode="External"/><Relationship Id="rId196" Type="http://schemas.openxmlformats.org/officeDocument/2006/relationships/hyperlink" Target="https://docs.rs-online.com/350b/0900766b8157c940.pdf" TargetMode="External"/><Relationship Id="rId200" Type="http://schemas.openxmlformats.org/officeDocument/2006/relationships/hyperlink" Target="https://fr.rs-online.com/web/p/resistances-a-montage-en-surface/1345428" TargetMode="External"/><Relationship Id="rId16" Type="http://schemas.openxmlformats.org/officeDocument/2006/relationships/hyperlink" Target="https://fr.farnell.com/microchip/mic5317-3-3ym5-tr/ldo-fixe-3-3v-015a-40-a-125-c/dp/2920683" TargetMode="External"/><Relationship Id="rId221" Type="http://schemas.openxmlformats.org/officeDocument/2006/relationships/hyperlink" Target="https://www.yageo.com/upload/media/product/productsearch/datasheet/rchip/PYu-RC_Group_51_RoHS_L_12.pdf" TargetMode="External"/><Relationship Id="rId242" Type="http://schemas.openxmlformats.org/officeDocument/2006/relationships/hyperlink" Target="https://search.murata.co.jp/Ceramy/image/img/A01X/G101/ENG/GRM21BR71C105KA01-01A.pdf" TargetMode="External"/><Relationship Id="rId263" Type="http://schemas.openxmlformats.org/officeDocument/2006/relationships/hyperlink" Target="https://fr.rs-online.com/web/p/expandeurs-e-s/2194650" TargetMode="External"/><Relationship Id="rId37" Type="http://schemas.openxmlformats.org/officeDocument/2006/relationships/hyperlink" Target="https://www.mouser.fr/ProductDetail/Analog-Devices-Maxim-Integrated/MAX5033DUSA%2b?qs=Mqkh4jHMT8wLmeJI8jUixA%3D%3D" TargetMode="External"/><Relationship Id="rId58" Type="http://schemas.openxmlformats.org/officeDocument/2006/relationships/hyperlink" Target="https://fr.farnell.com/tracopower/tmlm-04253/alimentation-montage-pcb-4w-2/dp/1772165" TargetMode="External"/><Relationship Id="rId79" Type="http://schemas.openxmlformats.org/officeDocument/2006/relationships/hyperlink" Target="https://www.diodes.com/datasheet/download/AZ1117C.pdf" TargetMode="External"/><Relationship Id="rId102" Type="http://schemas.openxmlformats.org/officeDocument/2006/relationships/hyperlink" Target="https://www.te.com/commerce/DocumentDelivery/DDEController?Action=srchrtrv&amp;DocNm=1773035&amp;DocType=Data%20Sheet&amp;DocLang=English&amp;DocFormat=pdf&amp;PartCntxt=4-1625999-0" TargetMode="External"/><Relationship Id="rId123" Type="http://schemas.openxmlformats.org/officeDocument/2006/relationships/hyperlink" Target="https://4donline.ihs.com/images/VipMasterIC/IC/SCMP/SCMP-S-A0009547702/SCMP-S-A0009547702-1.pdf?hkey=6D3A4C79FDBF58556ACFDE234799DDF0" TargetMode="External"/><Relationship Id="rId144" Type="http://schemas.openxmlformats.org/officeDocument/2006/relationships/hyperlink" Target="https://www.we-online.com/en/components/products/download/inlay/560112" TargetMode="External"/><Relationship Id="rId90" Type="http://schemas.openxmlformats.org/officeDocument/2006/relationships/hyperlink" Target="https://www.farnell.com/datasheets/3195174.pdf" TargetMode="External"/><Relationship Id="rId165" Type="http://schemas.openxmlformats.org/officeDocument/2006/relationships/hyperlink" Target="https://www.digikey.fr/fr/products/detail/stackpole-electronics-inc/RMCF0805FT909K/1760269" TargetMode="External"/><Relationship Id="rId186" Type="http://schemas.openxmlformats.org/officeDocument/2006/relationships/hyperlink" Target="https://fr.rs-online.com/web/p/resistances-a-montage-en-surface/1995708" TargetMode="External"/><Relationship Id="rId211" Type="http://schemas.openxmlformats.org/officeDocument/2006/relationships/hyperlink" Target="https://www.yageo.com/upload/media/product/productsearch/datasheet/rchip/PYu-RC_Group_51_RoHS_L_12.pdf" TargetMode="External"/><Relationship Id="rId232" Type="http://schemas.openxmlformats.org/officeDocument/2006/relationships/hyperlink" Target="https://www.yageo.com/upload/media/product/productsearch/datasheet/rchip/PYu-AC_51_RoHS_L_11.pdf" TargetMode="External"/><Relationship Id="rId253" Type="http://schemas.openxmlformats.org/officeDocument/2006/relationships/hyperlink" Target="https://fr.farnell.com/lem/go-10-sme-sp3/capteur-courant-300khz-soic-8/dp/3796461" TargetMode="External"/><Relationship Id="rId27" Type="http://schemas.openxmlformats.org/officeDocument/2006/relationships/hyperlink" Target="https://fr.farnell.com/dialight/5988g10313f/led-rgb-680mcd-1-5cd-380mcd-cms/dp/3584522" TargetMode="External"/><Relationship Id="rId48" Type="http://schemas.openxmlformats.org/officeDocument/2006/relationships/hyperlink" Target="https://www.we-online.com/components/products/datasheet/171013801.pdf" TargetMode="External"/><Relationship Id="rId69" Type="http://schemas.openxmlformats.org/officeDocument/2006/relationships/hyperlink" Target="https://www.we-online.com/components/products/datasheet/865060642004.pdf" TargetMode="External"/><Relationship Id="rId113" Type="http://schemas.openxmlformats.org/officeDocument/2006/relationships/hyperlink" Target="https://www.we-online.com/components/products/datasheet/885012005055.pdf" TargetMode="External"/><Relationship Id="rId134" Type="http://schemas.openxmlformats.org/officeDocument/2006/relationships/hyperlink" Target="https://www.farnell.com/datasheets/2860635.pdf" TargetMode="External"/><Relationship Id="rId80" Type="http://schemas.openxmlformats.org/officeDocument/2006/relationships/hyperlink" Target="https://www.diodes.com/datasheet/download/AZ1117C.pdf" TargetMode="External"/><Relationship Id="rId155" Type="http://schemas.openxmlformats.org/officeDocument/2006/relationships/hyperlink" Target="https://www.vishay.com/docs/45259/vjhifreq-designkit.pdf" TargetMode="External"/><Relationship Id="rId176" Type="http://schemas.openxmlformats.org/officeDocument/2006/relationships/hyperlink" Target="https://fr.rs-online.com/web/p/resistances-a-montage-en-surface/1978172?searchId=e42e332d-ec63-4204-8c92-dbbf7c407634&amp;gb=s" TargetMode="External"/><Relationship Id="rId197" Type="http://schemas.openxmlformats.org/officeDocument/2006/relationships/hyperlink" Target="https://fr.rs-online.com/web/p/resistances-a-montage-en-surface/8029784" TargetMode="External"/><Relationship Id="rId201" Type="http://schemas.openxmlformats.org/officeDocument/2006/relationships/hyperlink" Target="https://fr.rs-online.com/web/p/resistances-a-montage-en-surface/8048760" TargetMode="External"/><Relationship Id="rId222" Type="http://schemas.openxmlformats.org/officeDocument/2006/relationships/hyperlink" Target="https://www.yageo.com/upload/media/product/productsearch/datasheet/rchip/PYu-RC_Group_51_RoHS_L_12.pdf" TargetMode="External"/><Relationship Id="rId243" Type="http://schemas.openxmlformats.org/officeDocument/2006/relationships/hyperlink" Target="https://www.seielect.com/catalog/sei-rmcf_rmcp.pdf" TargetMode="External"/><Relationship Id="rId264" Type="http://schemas.openxmlformats.org/officeDocument/2006/relationships/hyperlink" Target="https://fr.farnell.com/nxp/pca9685pw-118/driver-de-led-rgba-28-tssop/dp/1854074" TargetMode="External"/><Relationship Id="rId17" Type="http://schemas.openxmlformats.org/officeDocument/2006/relationships/hyperlink" Target="https://fr.farnell.com/multicomp-pro/mprb2415s-6w/convertisseur-dc-dc-15v-0-4a/dp/3652723" TargetMode="External"/><Relationship Id="rId38" Type="http://schemas.openxmlformats.org/officeDocument/2006/relationships/hyperlink" Target="https://www.mouser.fr/ProductDetail/CUI-Inc/PQQ6W-Q24-S15-S?qs=zW32dvEIR3vARH8AVKQkeg%3D%3D" TargetMode="External"/><Relationship Id="rId59" Type="http://schemas.openxmlformats.org/officeDocument/2006/relationships/hyperlink" Target="https://www.we-online.com/components/products/datasheet/865060240001.pdf" TargetMode="External"/><Relationship Id="rId103" Type="http://schemas.openxmlformats.org/officeDocument/2006/relationships/hyperlink" Target="https://www.tracopower.com/sites/default/files/products/datasheets/tmlm_datasheet.pdf?t=1730163601" TargetMode="External"/><Relationship Id="rId124" Type="http://schemas.openxmlformats.org/officeDocument/2006/relationships/hyperlink" Target="https://fr.farnell.com/multicomp/mcwr04x10r0ftl/res-couche-epaisse-10r-1-0-0625w/dp/2446415" TargetMode="External"/><Relationship Id="rId70" Type="http://schemas.openxmlformats.org/officeDocument/2006/relationships/hyperlink" Target="https://www.we-online.com/components/products/datasheet/865060657012.pdf" TargetMode="External"/><Relationship Id="rId91" Type="http://schemas.openxmlformats.org/officeDocument/2006/relationships/hyperlink" Target="https://assets.nexperia.com/documents/data-sheet/BUK9637-100E.pdf" TargetMode="External"/><Relationship Id="rId145" Type="http://schemas.openxmlformats.org/officeDocument/2006/relationships/hyperlink" Target="https://www.we-online.com/en/components/products/download/inlay/830001" TargetMode="External"/><Relationship Id="rId166" Type="http://schemas.openxmlformats.org/officeDocument/2006/relationships/hyperlink" Target="https://fr.rs-online.com/web/p/resistances-a-montage-en-surface/6185135" TargetMode="External"/><Relationship Id="rId187" Type="http://schemas.openxmlformats.org/officeDocument/2006/relationships/hyperlink" Target="https://fr.rs-online.com/web/p/resistances-a-montage-en-surface/1995648" TargetMode="External"/><Relationship Id="rId1" Type="http://schemas.openxmlformats.org/officeDocument/2006/relationships/hyperlink" Target="https://www.we-online.com/components/products/datasheet/560050350011.pdf" TargetMode="External"/><Relationship Id="rId212" Type="http://schemas.openxmlformats.org/officeDocument/2006/relationships/hyperlink" Target="https://www.yageo.com/upload/media/product/productsearch/datasheet/rchip/PYu-RC_Group_51_RoHS_L_12.pdf" TargetMode="External"/><Relationship Id="rId233" Type="http://schemas.openxmlformats.org/officeDocument/2006/relationships/hyperlink" Target="https://content.kemet.com/datasheets/CER_ENG_KIT_30.pdf" TargetMode="External"/><Relationship Id="rId254" Type="http://schemas.openxmlformats.org/officeDocument/2006/relationships/hyperlink" Target="https://fr.rs-online.com/web/p/optocoupleurs/1744163" TargetMode="External"/><Relationship Id="rId28" Type="http://schemas.openxmlformats.org/officeDocument/2006/relationships/hyperlink" Target="https://fr.farnell.com/vishay/tsop75338tt/recepteur-ir-45m-0-12mw-m2-cms/dp/1779691" TargetMode="External"/><Relationship Id="rId49" Type="http://schemas.openxmlformats.org/officeDocument/2006/relationships/hyperlink" Target="https://www.we-online.com/components/products/datasheet/173950378.pdf" TargetMode="External"/><Relationship Id="rId114" Type="http://schemas.openxmlformats.org/officeDocument/2006/relationships/hyperlink" Target="https://www.we-online.com/components/products/datasheet/885012206076.pdf" TargetMode="External"/><Relationship Id="rId60" Type="http://schemas.openxmlformats.org/officeDocument/2006/relationships/hyperlink" Target="https://www.we-online.com/components/products/datasheet/865060440001.pdf" TargetMode="External"/><Relationship Id="rId81" Type="http://schemas.openxmlformats.org/officeDocument/2006/relationships/hyperlink" Target="https://www.diodes.com/datasheet/download/AZ1117.pdf" TargetMode="External"/><Relationship Id="rId135" Type="http://schemas.openxmlformats.org/officeDocument/2006/relationships/hyperlink" Target="https://fr.farnell.com/multicomp-pro/mcmr04x200-jtl/res-ceramique-20r-5-0-0625w-0402/dp/2072748" TargetMode="External"/><Relationship Id="rId156" Type="http://schemas.openxmlformats.org/officeDocument/2006/relationships/hyperlink" Target="https://www.we-online.com/en/components/products/download/inlay/613001" TargetMode="External"/><Relationship Id="rId177" Type="http://schemas.openxmlformats.org/officeDocument/2006/relationships/hyperlink" Target="https://fr.rs-online.com/web/p/resistances-a-montage-en-surface/1995668" TargetMode="External"/><Relationship Id="rId198" Type="http://schemas.openxmlformats.org/officeDocument/2006/relationships/hyperlink" Target="https://fr.rs-online.com/web/p/condensateurs-ceramique-multicouches/1852113" TargetMode="External"/><Relationship Id="rId202" Type="http://schemas.openxmlformats.org/officeDocument/2006/relationships/hyperlink" Target="https://docs.rs-online.com/9f65/0900766b8157cb2c.pdf" TargetMode="External"/><Relationship Id="rId223" Type="http://schemas.openxmlformats.org/officeDocument/2006/relationships/hyperlink" Target="https://www.yageo.com/upload/media/product/productsearch/datasheet/rchip/PYu-RC_Group_51_RoHS_L_12.pdf" TargetMode="External"/><Relationship Id="rId244" Type="http://schemas.openxmlformats.org/officeDocument/2006/relationships/hyperlink" Target="https://fr.rs-online.com/web/p/condensateurs-tantale/1355458" TargetMode="External"/><Relationship Id="rId18" Type="http://schemas.openxmlformats.org/officeDocument/2006/relationships/hyperlink" Target="https://fr.farnell.com/littelfuse/dst10100s/schottky-rectifier-100v-to-277b/dp/4066566" TargetMode="External"/><Relationship Id="rId39" Type="http://schemas.openxmlformats.org/officeDocument/2006/relationships/hyperlink" Target="https://www.vishay.com/docs/91016/sihf510s.pdf" TargetMode="External"/><Relationship Id="rId265" Type="http://schemas.openxmlformats.org/officeDocument/2006/relationships/hyperlink" Target="https://fr.rs-online.com/web/p/expandeurs-e-s/0403816?gb=s&amp;searchId=5777323f-195c-44f1-b92f-cb4dbfb01835" TargetMode="External"/><Relationship Id="rId50" Type="http://schemas.openxmlformats.org/officeDocument/2006/relationships/hyperlink" Target="https://www.we-online.com/components/products/datasheet/173950536.pdf" TargetMode="External"/><Relationship Id="rId104" Type="http://schemas.openxmlformats.org/officeDocument/2006/relationships/hyperlink" Target="https://www.tracopower.com/sites/default/files/products/datasheets/tmp_tmpm_datasheet.pdf?t=1730163601" TargetMode="External"/><Relationship Id="rId125" Type="http://schemas.openxmlformats.org/officeDocument/2006/relationships/hyperlink" Target="https://4donline.ihs.com/images/VipMasterIC/IC/SCMP/SCMP-S-A0009547702/SCMP-S-A0009547702-1.pdf?hkey=6D3A4C79FDBF58556ACFDE234799DDF0" TargetMode="External"/><Relationship Id="rId146" Type="http://schemas.openxmlformats.org/officeDocument/2006/relationships/hyperlink" Target="https://www.we-online.com/en/components/products/download/inlay/824599" TargetMode="External"/><Relationship Id="rId167" Type="http://schemas.openxmlformats.org/officeDocument/2006/relationships/hyperlink" Target="https://fr.rs-online.com/web/p/resistances-a-montage-en-surface/2426991" TargetMode="External"/><Relationship Id="rId188" Type="http://schemas.openxmlformats.org/officeDocument/2006/relationships/hyperlink" Target="https://fr.rs-online.com/web/p/resistances-a-montage-en-surface/1978152" TargetMode="External"/><Relationship Id="rId71" Type="http://schemas.openxmlformats.org/officeDocument/2006/relationships/hyperlink" Target="https://www.we-online.com/components/products/datasheet/885012205086.pdf" TargetMode="External"/><Relationship Id="rId92" Type="http://schemas.openxmlformats.org/officeDocument/2006/relationships/hyperlink" Target="https://g.recomcdn.com/media/Datasheet/pdf/.fldP_2rX/.t124a6889b0e40eeb9ac1/Datasheet-285/R-78B-2_0.pdf" TargetMode="External"/><Relationship Id="rId213" Type="http://schemas.openxmlformats.org/officeDocument/2006/relationships/hyperlink" Target="https://www.yageo.com/upload/media/product/productsearch/datasheet/rchip/PYu-RC_Group_51_RoHS_L_12.pdf" TargetMode="External"/><Relationship Id="rId234" Type="http://schemas.openxmlformats.org/officeDocument/2006/relationships/hyperlink" Target="https://weblib.samsungsem.com/mlcc/mlcc-ec-data-sheet.do?partNumber=CL10B103KB8NNN" TargetMode="External"/><Relationship Id="rId2" Type="http://schemas.openxmlformats.org/officeDocument/2006/relationships/hyperlink" Target="https://fr.farnell.com/vishay/rcwe1210r300fkea/resistance-couche-epaisse-r3-1/dp/1838677" TargetMode="External"/><Relationship Id="rId29" Type="http://schemas.openxmlformats.org/officeDocument/2006/relationships/hyperlink" Target="https://fr.farnell.com/microchip/mcp2120-i-sl/controleur-irda-cms/dp/1084305" TargetMode="External"/><Relationship Id="rId255" Type="http://schemas.openxmlformats.org/officeDocument/2006/relationships/hyperlink" Target="https://fr.rs-online.com/web/p/amplificateurs-d-isolement/1744179" TargetMode="External"/><Relationship Id="rId40" Type="http://schemas.openxmlformats.org/officeDocument/2006/relationships/hyperlink" Target="https://www.mouser.fr/ProductDetail/Vishay-Semiconductors/IRF510SPBF?qs=iXwvDCb7I7jeKqUeAvChjw%3D%3D" TargetMode="External"/><Relationship Id="rId115" Type="http://schemas.openxmlformats.org/officeDocument/2006/relationships/hyperlink" Target="https://www.we-online.com/components/products/datasheet/885012107019.pdf" TargetMode="External"/><Relationship Id="rId136" Type="http://schemas.openxmlformats.org/officeDocument/2006/relationships/hyperlink" Target="https://www.we-online.com/components/products/datasheet/7447709680.pdf" TargetMode="External"/><Relationship Id="rId157" Type="http://schemas.openxmlformats.org/officeDocument/2006/relationships/hyperlink" Target="https://www.gotronic.fr/art-resistances-et-condensateurs-0603-20693.htm" TargetMode="External"/><Relationship Id="rId178" Type="http://schemas.openxmlformats.org/officeDocument/2006/relationships/hyperlink" Target="https://fr.rs-online.com/web/p/resistances-a-montage-en-surface/1995695" TargetMode="External"/><Relationship Id="rId61" Type="http://schemas.openxmlformats.org/officeDocument/2006/relationships/hyperlink" Target="https://www.we-online.com/components/products/datasheet/865060442002.pdf" TargetMode="External"/><Relationship Id="rId82" Type="http://schemas.openxmlformats.org/officeDocument/2006/relationships/hyperlink" Target="https://www.infineon.com/dgdl/Infineon-IRF540N-DataSheet-v01_01-EN.pdf?fileId=5546d462533600a4015355e39f0d19a1" TargetMode="External"/><Relationship Id="rId199" Type="http://schemas.openxmlformats.org/officeDocument/2006/relationships/hyperlink" Target="https://fr.rs-online.com/web/p/kits-de-condensateurs/8675444" TargetMode="External"/><Relationship Id="rId203" Type="http://schemas.openxmlformats.org/officeDocument/2006/relationships/hyperlink" Target="https://fr.rs-online.com/web/p/resistances-a-montage-en-surface/8048845" TargetMode="External"/><Relationship Id="rId19" Type="http://schemas.openxmlformats.org/officeDocument/2006/relationships/hyperlink" Target="https://fr.farnell.com/diodes-inc/1n4148ws-7-f/diodess-commutateur75v0-2wsod323/dp/1843678" TargetMode="External"/><Relationship Id="rId224" Type="http://schemas.openxmlformats.org/officeDocument/2006/relationships/hyperlink" Target="https://www.yageo.com/upload/media/product/productsearch/datasheet/rchip/PYu-RC_Group_51_RoHS_L_12.pdf" TargetMode="External"/><Relationship Id="rId245" Type="http://schemas.openxmlformats.org/officeDocument/2006/relationships/hyperlink" Target="https://docs.rs-online.com/1e78/0900766b815b838f.pdf" TargetMode="External"/><Relationship Id="rId266" Type="http://schemas.openxmlformats.org/officeDocument/2006/relationships/hyperlink" Target="https://fr.farnell.com/stmicroelectronics/lsm6dsmtr/mems-accelero-gyroscope-3d-lga/dp/2664522" TargetMode="External"/><Relationship Id="rId30" Type="http://schemas.openxmlformats.org/officeDocument/2006/relationships/hyperlink" Target="https://fr.rs-online.com/web/p/convertisseurs-buck/7512923" TargetMode="External"/><Relationship Id="rId105" Type="http://schemas.openxmlformats.org/officeDocument/2006/relationships/hyperlink" Target="https://www.vishay.com/docs/20019/rcwe.pdf" TargetMode="External"/><Relationship Id="rId126" Type="http://schemas.openxmlformats.org/officeDocument/2006/relationships/hyperlink" Target="https://fr.farnell.com/multicomp/mcwr04x1001ftl/resistance-thick-film-1kohm-1/dp/2446437" TargetMode="External"/><Relationship Id="rId147" Type="http://schemas.openxmlformats.org/officeDocument/2006/relationships/hyperlink" Target="https://www.we-online.com/en/components/products/download/inlay/158300" TargetMode="External"/><Relationship Id="rId168" Type="http://schemas.openxmlformats.org/officeDocument/2006/relationships/hyperlink" Target="https://fr.rs-online.com/web/p/resistances-a-montage-en-surface/1345456" TargetMode="External"/><Relationship Id="rId51" Type="http://schemas.openxmlformats.org/officeDocument/2006/relationships/hyperlink" Target="https://www.we-online.com/components/products/datasheet/17791063215.pdf" TargetMode="External"/><Relationship Id="rId72" Type="http://schemas.openxmlformats.org/officeDocument/2006/relationships/hyperlink" Target="https://www.we-online.com/components/products/datasheet/885012214001.pdf" TargetMode="External"/><Relationship Id="rId93" Type="http://schemas.openxmlformats.org/officeDocument/2006/relationships/hyperlink" Target="https://fscdn.rohm.com/en/products/databook/datasheet/ic/power/linear_regulator/buxxsd2mg-m-e.pdf" TargetMode="External"/><Relationship Id="rId189" Type="http://schemas.openxmlformats.org/officeDocument/2006/relationships/hyperlink" Target="https://fr.rs-online.com/web/p/resistances-a-montage-en-surface/2426995" TargetMode="External"/><Relationship Id="rId3" Type="http://schemas.openxmlformats.org/officeDocument/2006/relationships/hyperlink" Target="https://fr.farnell.com/te-connectivity/rlp73k3ar16jte/resis-mesure-courant-0r16-5-2w/dp/2805301" TargetMode="External"/><Relationship Id="rId214" Type="http://schemas.openxmlformats.org/officeDocument/2006/relationships/hyperlink" Target="https://www.yageo.com/upload/media/product/productsearch/datasheet/rchip/PYu-RC_Group_51_RoHS_L_12.pdf" TargetMode="External"/><Relationship Id="rId235" Type="http://schemas.openxmlformats.org/officeDocument/2006/relationships/hyperlink" Target="https://weblib.samsungsem.com/mlcc/mlcc-ec-data-sheet.do?partNumber=CL10B104KB8NNN" TargetMode="External"/><Relationship Id="rId256" Type="http://schemas.openxmlformats.org/officeDocument/2006/relationships/hyperlink" Target="https://fr.farnell.com/ecliptek/ec2620ts-25-000m-tr/oscillateur-25mhz-lvcmos-7mm-x/dp/3572937" TargetMode="External"/><Relationship Id="rId116" Type="http://schemas.openxmlformats.org/officeDocument/2006/relationships/hyperlink" Target="https://www.we-online.com/components/products/datasheet/885012106031.pdf" TargetMode="External"/><Relationship Id="rId137" Type="http://schemas.openxmlformats.org/officeDocument/2006/relationships/hyperlink" Target="https://www.we-online.com/components/products/datasheet/744771122.pdf" TargetMode="External"/><Relationship Id="rId158" Type="http://schemas.openxmlformats.org/officeDocument/2006/relationships/hyperlink" Target="https://fr.farnell.com/multicomp-pro/mp000459/kit-res-chip-0603-0-2w-1-6050pc/dp/3213383" TargetMode="External"/><Relationship Id="rId20" Type="http://schemas.openxmlformats.org/officeDocument/2006/relationships/hyperlink" Target="https://fr.farnell.com/vishay/vs-15tq060s-m3/diode-schottky-simple-60v-to263ab/dp/2909608" TargetMode="External"/><Relationship Id="rId41" Type="http://schemas.openxmlformats.org/officeDocument/2006/relationships/hyperlink" Target="https://www.ti.com/lit/ds/symlink/lm3404.pdf?ts=1730061548853" TargetMode="External"/><Relationship Id="rId62" Type="http://schemas.openxmlformats.org/officeDocument/2006/relationships/hyperlink" Target="https://www.we-online.com/components/products/datasheet/865060443004.pdf" TargetMode="External"/><Relationship Id="rId83" Type="http://schemas.openxmlformats.org/officeDocument/2006/relationships/hyperlink" Target="https://www.littelfuse.com/media?resourcetype=datasheets&amp;itemid=912974f6-eef7-4845-b8b6-22945ea4a824&amp;filename=littelfuse-power-semiconductor-schottky-rectifier-dst10100s-datasheet" TargetMode="External"/><Relationship Id="rId179" Type="http://schemas.openxmlformats.org/officeDocument/2006/relationships/hyperlink" Target="https://fr.rs-online.com/web/p/resistances-a-montage-en-surface/2427021" TargetMode="External"/><Relationship Id="rId190" Type="http://schemas.openxmlformats.org/officeDocument/2006/relationships/hyperlink" Target="https://fr.rs-online.com/web/p/resistances-a-montage-en-surface/1345524" TargetMode="External"/><Relationship Id="rId204" Type="http://schemas.openxmlformats.org/officeDocument/2006/relationships/hyperlink" Target="https://docs.rs-online.com/21eb/0900766b8157cb45.pdf" TargetMode="External"/><Relationship Id="rId225" Type="http://schemas.openxmlformats.org/officeDocument/2006/relationships/hyperlink" Target="https://www.yageo.com/upload/media/product/productsearch/datasheet/rchip/PYu-RC_Group_51_RoHS_L_12.pdf" TargetMode="External"/><Relationship Id="rId246" Type="http://schemas.openxmlformats.org/officeDocument/2006/relationships/hyperlink" Target="https://www.farnell.com/datasheets/2899258.pdf" TargetMode="External"/><Relationship Id="rId267" Type="http://schemas.openxmlformats.org/officeDocument/2006/relationships/hyperlink" Target="https://fr.farnell.com/nordic-semiconductor/nrf24l01p-r7/transceiver-rf-2mbps-2-525ghz/dp/2842317" TargetMode="External"/><Relationship Id="rId106" Type="http://schemas.openxmlformats.org/officeDocument/2006/relationships/hyperlink" Target="https://www.vishay.com/docs/67036/sq2310es.pdf" TargetMode="External"/><Relationship Id="rId127" Type="http://schemas.openxmlformats.org/officeDocument/2006/relationships/hyperlink" Target="https://4donline.ihs.com/images/VipMasterIC/IC/SCMP/SCMP-S-A0009547702/SCMP-S-A0009547702-1.pdf?hkey=6D3A4C79FDBF58556ACFDE234799DDF0" TargetMode="External"/><Relationship Id="rId10" Type="http://schemas.openxmlformats.org/officeDocument/2006/relationships/hyperlink" Target="https://fr.farnell.com/microchip/mic3172ym/ic-switching-reg-1-25a-100khz/dp/2510055" TargetMode="External"/><Relationship Id="rId31" Type="http://schemas.openxmlformats.org/officeDocument/2006/relationships/hyperlink" Target="https://fr.rs-online.com/web/p/regulateurs-de-tension/9210701" TargetMode="External"/><Relationship Id="rId52" Type="http://schemas.openxmlformats.org/officeDocument/2006/relationships/hyperlink" Target="https://www.we-online.com/components/products/datasheet/74404084220.pdf" TargetMode="External"/><Relationship Id="rId73" Type="http://schemas.openxmlformats.org/officeDocument/2006/relationships/hyperlink" Target="https://www.analog.com/media/en/technical-documentation/data-sheets/1074fds.pdf" TargetMode="External"/><Relationship Id="rId94" Type="http://schemas.openxmlformats.org/officeDocument/2006/relationships/hyperlink" Target="https://fscdn.rohm.com/en/products/databook/datasheet/ic/power/linear_regulator/buxxsd5wg-e.pdf" TargetMode="External"/><Relationship Id="rId148" Type="http://schemas.openxmlformats.org/officeDocument/2006/relationships/hyperlink" Target="https://www.we-online.com/en/components/products/download/inlay/694001" TargetMode="External"/><Relationship Id="rId169" Type="http://schemas.openxmlformats.org/officeDocument/2006/relationships/hyperlink" Target="https://fr.rs-online.com/web/p/resistances-a-montage-en-surface/1995752" TargetMode="External"/><Relationship Id="rId4" Type="http://schemas.openxmlformats.org/officeDocument/2006/relationships/hyperlink" Target="https://fr.farnell.com/cgs-te-connectivity/2-2176058-2/res-0r075-1-2w-2512-couche-epaisse/dp/2991966" TargetMode="External"/><Relationship Id="rId180" Type="http://schemas.openxmlformats.org/officeDocument/2006/relationships/hyperlink" Target="https://fr.rs-online.com/web/p/resistances-a-montage-en-surface/1995732" TargetMode="External"/><Relationship Id="rId215" Type="http://schemas.openxmlformats.org/officeDocument/2006/relationships/hyperlink" Target="https://www.yageo.com/upload/media/product/productsearch/datasheet/rchip/PYu-RC_Group_51_RoHS_L_12.pdf" TargetMode="External"/><Relationship Id="rId236" Type="http://schemas.openxmlformats.org/officeDocument/2006/relationships/hyperlink" Target="https://www.te.com/en/product-1623094-1.datasheet.pdf" TargetMode="External"/><Relationship Id="rId257" Type="http://schemas.openxmlformats.org/officeDocument/2006/relationships/hyperlink" Target="https://www.mouser.fr/ProductDetail/Murata-Electronics/XRCGB27M120F3M00R0?qs=e%252BE4OD6MgMfl8qhJDYq%252BAg%3D%3D" TargetMode="External"/><Relationship Id="rId42" Type="http://schemas.openxmlformats.org/officeDocument/2006/relationships/hyperlink" Target="https://www.we-online.com/components/products/datasheet/744766001.pdf" TargetMode="External"/><Relationship Id="rId84" Type="http://schemas.openxmlformats.org/officeDocument/2006/relationships/hyperlink" Target="https://ww1.microchip.com/downloads/aemDocuments/documents/APID/ProductDocuments/DataSheets/21618b.pdf" TargetMode="External"/><Relationship Id="rId138" Type="http://schemas.openxmlformats.org/officeDocument/2006/relationships/hyperlink" Target="https://www.onsemi.com/pdf/datasheet/fsv340af-d.pdf" TargetMode="External"/><Relationship Id="rId191" Type="http://schemas.openxmlformats.org/officeDocument/2006/relationships/hyperlink" Target="https://www.digikey.fr/fr/products/detail/panasonic-electronic-components/ECJ-2VB1E104K/270298" TargetMode="External"/><Relationship Id="rId205" Type="http://schemas.openxmlformats.org/officeDocument/2006/relationships/hyperlink" Target="https://fr.rs-online.com/web/p/resistances-a-montage-en-surface/8048921" TargetMode="External"/><Relationship Id="rId247" Type="http://schemas.openxmlformats.org/officeDocument/2006/relationships/hyperlink" Target="https://fr.farnell.com/en-FR/vishay/293d104x9050a2te3/tantalum-capacitor-0-1uf-50v-19/dp/9302727" TargetMode="External"/><Relationship Id="rId107" Type="http://schemas.openxmlformats.org/officeDocument/2006/relationships/hyperlink" Target="https://www.vishay.com/docs/76029/sqj504ep.pdf" TargetMode="External"/><Relationship Id="rId11" Type="http://schemas.openxmlformats.org/officeDocument/2006/relationships/hyperlink" Target="https://fr.farnell.com/diodes-inc/az1117ch2-3-3trg1/ldo-fixe-3-3v-0-8a-20-a-125-c/dp/3483072" TargetMode="External"/><Relationship Id="rId53" Type="http://schemas.openxmlformats.org/officeDocument/2006/relationships/hyperlink" Target="https://www.we-online.com/components/products/datasheet/74404086221.pdf" TargetMode="External"/><Relationship Id="rId149" Type="http://schemas.openxmlformats.org/officeDocument/2006/relationships/hyperlink" Target="https://www.we-online.com/en/components/products/download/inlay/560114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user.fr/" TargetMode="External"/><Relationship Id="rId7" Type="http://schemas.openxmlformats.org/officeDocument/2006/relationships/table" Target="../tables/table5.xml"/><Relationship Id="rId2" Type="http://schemas.openxmlformats.org/officeDocument/2006/relationships/hyperlink" Target="https://fr.rs-online.com/" TargetMode="External"/><Relationship Id="rId1" Type="http://schemas.openxmlformats.org/officeDocument/2006/relationships/hyperlink" Target="https://fr.farnell.com/" TargetMode="External"/><Relationship Id="rId6" Type="http://schemas.openxmlformats.org/officeDocument/2006/relationships/hyperlink" Target="https://www.digikey.fr/" TargetMode="External"/><Relationship Id="rId5" Type="http://schemas.openxmlformats.org/officeDocument/2006/relationships/hyperlink" Target="https://business.amazon.fr/" TargetMode="External"/><Relationship Id="rId4" Type="http://schemas.openxmlformats.org/officeDocument/2006/relationships/hyperlink" Target="https://www.gotronic.fr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92"/>
  <sheetViews>
    <sheetView tabSelected="1" topLeftCell="K1" zoomScaleNormal="100" workbookViewId="0">
      <pane ySplit="2" topLeftCell="A23" activePane="bottomLeft" state="frozen"/>
      <selection pane="bottomLeft" activeCell="B25" sqref="B25"/>
      <selection activeCell="K1" sqref="K1"/>
    </sheetView>
  </sheetViews>
  <sheetFormatPr defaultColWidth="8.5703125" defaultRowHeight="15"/>
  <cols>
    <col min="1" max="1" width="19" style="4" bestFit="1" customWidth="1"/>
    <col min="2" max="2" width="24.28515625" customWidth="1"/>
    <col min="3" max="3" width="19.7109375" hidden="1" customWidth="1"/>
    <col min="4" max="4" width="23.42578125" style="4" customWidth="1"/>
    <col min="5" max="5" width="22" customWidth="1"/>
    <col min="6" max="6" width="17" customWidth="1"/>
    <col min="7" max="7" width="22.28515625" style="13" bestFit="1" customWidth="1"/>
    <col min="8" max="8" width="13.85546875" style="4" customWidth="1"/>
    <col min="9" max="9" width="13.85546875" customWidth="1"/>
    <col min="10" max="10" width="39.7109375" customWidth="1"/>
    <col min="11" max="11" width="24.28515625" bestFit="1" customWidth="1"/>
    <col min="12" max="12" width="12" bestFit="1" customWidth="1"/>
    <col min="13" max="13" width="22.28515625" bestFit="1" customWidth="1"/>
    <col min="14" max="14" width="12.5703125" style="4" customWidth="1"/>
    <col min="15" max="15" width="11.7109375" bestFit="1" customWidth="1"/>
    <col min="16" max="16" width="11.7109375" style="5" bestFit="1" customWidth="1"/>
    <col min="18" max="18" width="11.5703125" customWidth="1"/>
    <col min="19" max="19" width="9.85546875" customWidth="1"/>
    <col min="20" max="20" width="10.28515625" customWidth="1"/>
    <col min="21" max="21" width="8.5703125" style="5"/>
  </cols>
  <sheetData>
    <row r="1" spans="1:21" ht="24.75">
      <c r="A1" s="16"/>
      <c r="B1" s="17"/>
      <c r="C1" s="18"/>
      <c r="D1" s="16" t="s">
        <v>0</v>
      </c>
      <c r="E1" s="17"/>
      <c r="F1" s="17"/>
      <c r="G1" s="18"/>
      <c r="H1" s="16" t="s">
        <v>1</v>
      </c>
      <c r="I1" s="17"/>
      <c r="J1" s="17"/>
      <c r="K1" s="17"/>
      <c r="L1" s="17"/>
      <c r="M1" s="17"/>
      <c r="N1" s="16" t="s">
        <v>2</v>
      </c>
      <c r="O1" s="17"/>
      <c r="P1" s="18"/>
      <c r="Q1" s="16" t="s">
        <v>3</v>
      </c>
      <c r="R1" s="17"/>
      <c r="S1" s="17"/>
      <c r="T1" s="17"/>
      <c r="U1" s="18"/>
    </row>
    <row r="2" spans="1:21">
      <c r="A2" s="4" t="s">
        <v>4</v>
      </c>
      <c r="B2" t="s">
        <v>5</v>
      </c>
      <c r="C2" t="s">
        <v>6</v>
      </c>
      <c r="D2" s="4" t="s">
        <v>7</v>
      </c>
      <c r="E2" t="s">
        <v>8</v>
      </c>
      <c r="F2" t="s">
        <v>9</v>
      </c>
      <c r="G2" s="13" t="s">
        <v>10</v>
      </c>
      <c r="H2" s="4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s="4" t="s">
        <v>17</v>
      </c>
      <c r="O2" t="s">
        <v>18</v>
      </c>
      <c r="P2" s="5" t="s">
        <v>19</v>
      </c>
      <c r="Q2" t="s">
        <v>20</v>
      </c>
      <c r="R2" t="s">
        <v>21</v>
      </c>
      <c r="S2" t="s">
        <v>22</v>
      </c>
      <c r="T2" t="s">
        <v>23</v>
      </c>
      <c r="U2" s="5" t="s">
        <v>24</v>
      </c>
    </row>
    <row r="3" spans="1:21">
      <c r="A3" s="4" t="s">
        <v>25</v>
      </c>
      <c r="B3" t="s">
        <v>26</v>
      </c>
      <c r="D3" s="4" t="s">
        <v>27</v>
      </c>
      <c r="E3" s="9" t="s">
        <v>28</v>
      </c>
      <c r="F3" t="s">
        <v>29</v>
      </c>
      <c r="G3" s="13">
        <v>3584522</v>
      </c>
      <c r="H3" s="4">
        <v>60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  <c r="N3" s="8" t="s">
        <v>35</v>
      </c>
      <c r="O3" s="3" t="s">
        <v>36</v>
      </c>
      <c r="Q3" t="s">
        <v>37</v>
      </c>
      <c r="R3" t="s">
        <v>38</v>
      </c>
      <c r="S3">
        <v>2</v>
      </c>
      <c r="T3">
        <v>9</v>
      </c>
      <c r="U3" s="5">
        <v>1</v>
      </c>
    </row>
    <row r="4" spans="1:21">
      <c r="A4" s="4" t="s">
        <v>25</v>
      </c>
      <c r="B4" t="s">
        <v>39</v>
      </c>
      <c r="D4" s="4" t="s">
        <v>40</v>
      </c>
      <c r="E4" s="9" t="s">
        <v>41</v>
      </c>
      <c r="F4" t="s">
        <v>29</v>
      </c>
      <c r="G4" s="13">
        <v>1779691</v>
      </c>
      <c r="H4" s="4">
        <v>50</v>
      </c>
      <c r="I4" t="s">
        <v>42</v>
      </c>
      <c r="J4" t="s">
        <v>43</v>
      </c>
      <c r="K4" t="s">
        <v>44</v>
      </c>
      <c r="L4" t="s">
        <v>33</v>
      </c>
      <c r="M4" t="s">
        <v>34</v>
      </c>
      <c r="N4" s="8" t="s">
        <v>45</v>
      </c>
      <c r="O4" s="3" t="s">
        <v>46</v>
      </c>
      <c r="Q4" t="s">
        <v>37</v>
      </c>
      <c r="R4" t="s">
        <v>38</v>
      </c>
      <c r="S4">
        <v>2</v>
      </c>
      <c r="T4">
        <v>12</v>
      </c>
      <c r="U4" s="5">
        <v>1</v>
      </c>
    </row>
    <row r="5" spans="1:21">
      <c r="A5" s="4" t="s">
        <v>25</v>
      </c>
      <c r="B5" t="s">
        <v>26</v>
      </c>
      <c r="D5" s="4" t="s">
        <v>47</v>
      </c>
      <c r="E5" s="9" t="s">
        <v>48</v>
      </c>
      <c r="H5" s="4">
        <v>100</v>
      </c>
      <c r="I5" t="s">
        <v>30</v>
      </c>
      <c r="J5" t="s">
        <v>49</v>
      </c>
      <c r="K5" t="s">
        <v>50</v>
      </c>
      <c r="L5" t="s">
        <v>33</v>
      </c>
      <c r="M5" s="10" t="s">
        <v>51</v>
      </c>
      <c r="N5" s="8" t="s">
        <v>52</v>
      </c>
      <c r="Q5" t="s">
        <v>37</v>
      </c>
      <c r="R5" t="s">
        <v>38</v>
      </c>
      <c r="S5">
        <v>2</v>
      </c>
      <c r="T5">
        <v>10</v>
      </c>
      <c r="U5" s="5">
        <v>1</v>
      </c>
    </row>
    <row r="6" spans="1:21">
      <c r="A6" s="4" t="s">
        <v>25</v>
      </c>
      <c r="B6" t="s">
        <v>26</v>
      </c>
      <c r="D6" s="4" t="s">
        <v>47</v>
      </c>
      <c r="E6" s="9" t="s">
        <v>53</v>
      </c>
      <c r="H6" s="4">
        <v>100</v>
      </c>
      <c r="I6" t="s">
        <v>30</v>
      </c>
      <c r="J6" t="s">
        <v>54</v>
      </c>
      <c r="K6" t="s">
        <v>55</v>
      </c>
      <c r="L6" t="s">
        <v>33</v>
      </c>
      <c r="M6" s="10" t="s">
        <v>51</v>
      </c>
      <c r="N6" s="8" t="s">
        <v>56</v>
      </c>
      <c r="Q6" t="s">
        <v>37</v>
      </c>
      <c r="R6" t="s">
        <v>38</v>
      </c>
      <c r="S6">
        <v>2</v>
      </c>
      <c r="T6">
        <v>10</v>
      </c>
      <c r="U6" s="5">
        <v>2</v>
      </c>
    </row>
    <row r="7" spans="1:21">
      <c r="A7" s="4" t="s">
        <v>25</v>
      </c>
      <c r="B7" t="s">
        <v>26</v>
      </c>
      <c r="D7" s="4" t="s">
        <v>47</v>
      </c>
      <c r="E7" s="9" t="s">
        <v>57</v>
      </c>
      <c r="H7" s="4">
        <v>100</v>
      </c>
      <c r="I7" t="s">
        <v>30</v>
      </c>
      <c r="J7" t="s">
        <v>58</v>
      </c>
      <c r="K7" t="s">
        <v>50</v>
      </c>
      <c r="L7" t="s">
        <v>33</v>
      </c>
      <c r="M7" s="10" t="s">
        <v>51</v>
      </c>
      <c r="N7" s="8" t="s">
        <v>59</v>
      </c>
      <c r="Q7" t="s">
        <v>37</v>
      </c>
      <c r="R7" t="s">
        <v>38</v>
      </c>
      <c r="S7">
        <v>2</v>
      </c>
      <c r="T7">
        <v>10</v>
      </c>
      <c r="U7" s="5">
        <v>3</v>
      </c>
    </row>
    <row r="8" spans="1:21">
      <c r="A8" s="4" t="s">
        <v>25</v>
      </c>
      <c r="B8" t="s">
        <v>26</v>
      </c>
      <c r="D8" s="4" t="s">
        <v>47</v>
      </c>
      <c r="E8" s="9" t="s">
        <v>60</v>
      </c>
      <c r="H8" s="4">
        <v>100</v>
      </c>
      <c r="I8" t="s">
        <v>30</v>
      </c>
      <c r="J8" t="s">
        <v>61</v>
      </c>
      <c r="K8" t="s">
        <v>55</v>
      </c>
      <c r="L8" t="s">
        <v>33</v>
      </c>
      <c r="M8" s="10" t="s">
        <v>51</v>
      </c>
      <c r="N8" s="8" t="s">
        <v>62</v>
      </c>
      <c r="Q8" t="s">
        <v>37</v>
      </c>
      <c r="R8" t="s">
        <v>38</v>
      </c>
      <c r="S8">
        <v>2</v>
      </c>
      <c r="T8">
        <v>10</v>
      </c>
      <c r="U8" s="5">
        <v>4</v>
      </c>
    </row>
    <row r="9" spans="1:21">
      <c r="A9" s="4" t="s">
        <v>25</v>
      </c>
      <c r="B9" t="s">
        <v>26</v>
      </c>
      <c r="D9" s="4" t="s">
        <v>47</v>
      </c>
      <c r="E9" s="9" t="s">
        <v>63</v>
      </c>
      <c r="H9" s="4">
        <v>300</v>
      </c>
      <c r="I9" t="s">
        <v>30</v>
      </c>
      <c r="J9" t="s">
        <v>64</v>
      </c>
      <c r="K9" t="s">
        <v>55</v>
      </c>
      <c r="L9" t="s">
        <v>33</v>
      </c>
      <c r="M9" s="10" t="s">
        <v>51</v>
      </c>
      <c r="N9" s="8" t="s">
        <v>65</v>
      </c>
      <c r="Q9" t="s">
        <v>37</v>
      </c>
      <c r="R9" t="s">
        <v>38</v>
      </c>
      <c r="S9">
        <v>2</v>
      </c>
      <c r="T9">
        <v>10</v>
      </c>
      <c r="U9" s="5">
        <v>5</v>
      </c>
    </row>
    <row r="10" spans="1:21">
      <c r="A10" s="4" t="s">
        <v>66</v>
      </c>
      <c r="B10" t="s">
        <v>67</v>
      </c>
      <c r="D10" s="4" t="s">
        <v>68</v>
      </c>
      <c r="E10" s="9" t="s">
        <v>69</v>
      </c>
      <c r="F10" t="s">
        <v>29</v>
      </c>
      <c r="G10" s="13">
        <v>2805295</v>
      </c>
      <c r="H10" s="4">
        <v>30</v>
      </c>
      <c r="I10" t="s">
        <v>70</v>
      </c>
      <c r="J10" t="s">
        <v>71</v>
      </c>
      <c r="K10" t="s">
        <v>72</v>
      </c>
      <c r="L10" t="s">
        <v>33</v>
      </c>
      <c r="M10" s="10" t="s">
        <v>73</v>
      </c>
      <c r="N10" s="8" t="s">
        <v>74</v>
      </c>
      <c r="O10" s="3" t="s">
        <v>75</v>
      </c>
      <c r="Q10" t="s">
        <v>37</v>
      </c>
      <c r="R10" t="s">
        <v>38</v>
      </c>
      <c r="S10">
        <v>1</v>
      </c>
      <c r="T10">
        <v>1</v>
      </c>
      <c r="U10" s="5">
        <v>2</v>
      </c>
    </row>
    <row r="11" spans="1:21">
      <c r="A11" s="4" t="s">
        <v>66</v>
      </c>
      <c r="B11" t="s">
        <v>67</v>
      </c>
      <c r="D11" s="4" t="s">
        <v>68</v>
      </c>
      <c r="E11" s="9" t="s">
        <v>76</v>
      </c>
      <c r="F11" t="s">
        <v>29</v>
      </c>
      <c r="G11" s="13">
        <v>2805301</v>
      </c>
      <c r="H11" s="4">
        <v>30</v>
      </c>
      <c r="I11" t="s">
        <v>77</v>
      </c>
      <c r="J11" t="s">
        <v>71</v>
      </c>
      <c r="K11" t="s">
        <v>78</v>
      </c>
      <c r="L11" t="s">
        <v>33</v>
      </c>
      <c r="M11" s="10" t="s">
        <v>73</v>
      </c>
      <c r="N11" s="8" t="s">
        <v>74</v>
      </c>
      <c r="O11" s="3" t="s">
        <v>79</v>
      </c>
      <c r="Q11" t="s">
        <v>37</v>
      </c>
      <c r="R11" t="s">
        <v>38</v>
      </c>
      <c r="S11">
        <v>1</v>
      </c>
      <c r="T11">
        <v>1</v>
      </c>
      <c r="U11" s="5">
        <v>3</v>
      </c>
    </row>
    <row r="12" spans="1:21">
      <c r="A12" s="4" t="s">
        <v>66</v>
      </c>
      <c r="B12" t="s">
        <v>67</v>
      </c>
      <c r="D12" s="4" t="s">
        <v>68</v>
      </c>
      <c r="E12" s="9" t="s">
        <v>80</v>
      </c>
      <c r="F12" t="s">
        <v>29</v>
      </c>
      <c r="G12" s="13">
        <v>2991966</v>
      </c>
      <c r="H12" s="4">
        <v>30</v>
      </c>
      <c r="I12" t="s">
        <v>81</v>
      </c>
      <c r="J12" t="s">
        <v>71</v>
      </c>
      <c r="K12" t="s">
        <v>78</v>
      </c>
      <c r="L12" t="s">
        <v>33</v>
      </c>
      <c r="M12" s="10" t="s">
        <v>73</v>
      </c>
      <c r="N12" s="8" t="s">
        <v>74</v>
      </c>
      <c r="O12" s="3" t="s">
        <v>82</v>
      </c>
      <c r="Q12" t="s">
        <v>37</v>
      </c>
      <c r="R12" t="s">
        <v>38</v>
      </c>
      <c r="S12">
        <v>1</v>
      </c>
      <c r="T12">
        <v>1</v>
      </c>
      <c r="U12" s="5">
        <v>1</v>
      </c>
    </row>
    <row r="13" spans="1:21">
      <c r="A13" s="4" t="s">
        <v>66</v>
      </c>
      <c r="B13" t="s">
        <v>67</v>
      </c>
      <c r="D13" s="4" t="s">
        <v>83</v>
      </c>
      <c r="E13" s="9" t="s">
        <v>84</v>
      </c>
      <c r="F13" t="s">
        <v>85</v>
      </c>
      <c r="G13" s="13" t="s">
        <v>86</v>
      </c>
      <c r="H13" s="4">
        <v>5</v>
      </c>
      <c r="I13" t="s">
        <v>87</v>
      </c>
      <c r="J13" t="s">
        <v>88</v>
      </c>
      <c r="K13" t="s">
        <v>89</v>
      </c>
      <c r="L13" t="s">
        <v>90</v>
      </c>
      <c r="N13" s="8" t="s">
        <v>91</v>
      </c>
      <c r="O13" s="3" t="s">
        <v>92</v>
      </c>
      <c r="Q13" t="s">
        <v>37</v>
      </c>
      <c r="R13" t="s">
        <v>38</v>
      </c>
      <c r="S13">
        <v>1</v>
      </c>
      <c r="T13" t="s">
        <v>90</v>
      </c>
      <c r="U13" s="5" t="s">
        <v>90</v>
      </c>
    </row>
    <row r="14" spans="1:21">
      <c r="A14" s="4" t="s">
        <v>66</v>
      </c>
      <c r="B14" t="s">
        <v>67</v>
      </c>
      <c r="D14" s="4" t="s">
        <v>40</v>
      </c>
      <c r="E14" s="9" t="s">
        <v>93</v>
      </c>
      <c r="F14" t="s">
        <v>29</v>
      </c>
      <c r="G14" s="13">
        <v>1838677</v>
      </c>
      <c r="H14" s="4">
        <v>10</v>
      </c>
      <c r="I14" t="s">
        <v>94</v>
      </c>
      <c r="J14" t="s">
        <v>71</v>
      </c>
      <c r="K14" t="s">
        <v>95</v>
      </c>
      <c r="L14" t="s">
        <v>33</v>
      </c>
      <c r="M14" s="10" t="s">
        <v>96</v>
      </c>
      <c r="N14" s="8" t="s">
        <v>97</v>
      </c>
      <c r="O14" s="3" t="s">
        <v>98</v>
      </c>
      <c r="Q14" t="s">
        <v>37</v>
      </c>
      <c r="R14" t="s">
        <v>38</v>
      </c>
      <c r="S14">
        <v>1</v>
      </c>
      <c r="T14">
        <v>3</v>
      </c>
      <c r="U14" s="5">
        <v>1</v>
      </c>
    </row>
    <row r="15" spans="1:21">
      <c r="A15" s="4" t="s">
        <v>66</v>
      </c>
      <c r="B15" t="s">
        <v>99</v>
      </c>
      <c r="D15" s="4" t="s">
        <v>47</v>
      </c>
      <c r="E15" s="9" t="s">
        <v>100</v>
      </c>
      <c r="H15" s="4">
        <v>8</v>
      </c>
      <c r="I15" t="s">
        <v>101</v>
      </c>
      <c r="J15" t="s">
        <v>102</v>
      </c>
      <c r="K15" t="s">
        <v>103</v>
      </c>
      <c r="L15" t="s">
        <v>104</v>
      </c>
      <c r="M15" s="10" t="s">
        <v>105</v>
      </c>
      <c r="N15" s="8" t="s">
        <v>106</v>
      </c>
      <c r="Q15" t="s">
        <v>37</v>
      </c>
      <c r="R15" t="s">
        <v>38</v>
      </c>
      <c r="S15">
        <v>1</v>
      </c>
      <c r="T15">
        <v>5</v>
      </c>
      <c r="U15" s="5">
        <v>1</v>
      </c>
    </row>
    <row r="16" spans="1:21">
      <c r="A16" s="4" t="s">
        <v>66</v>
      </c>
      <c r="B16" t="s">
        <v>67</v>
      </c>
      <c r="D16" s="4" t="s">
        <v>47</v>
      </c>
      <c r="E16" s="9" t="s">
        <v>107</v>
      </c>
      <c r="H16" s="4">
        <v>50</v>
      </c>
      <c r="I16" t="s">
        <v>108</v>
      </c>
      <c r="J16" t="s">
        <v>71</v>
      </c>
      <c r="K16" t="s">
        <v>109</v>
      </c>
      <c r="L16" t="s">
        <v>33</v>
      </c>
      <c r="M16" s="10" t="s">
        <v>110</v>
      </c>
      <c r="N16" s="8" t="s">
        <v>111</v>
      </c>
      <c r="Q16" t="s">
        <v>37</v>
      </c>
      <c r="R16" t="s">
        <v>38</v>
      </c>
      <c r="S16">
        <v>1</v>
      </c>
      <c r="T16">
        <v>2</v>
      </c>
      <c r="U16" s="5">
        <v>1</v>
      </c>
    </row>
    <row r="17" spans="1:21">
      <c r="A17" s="4" t="s">
        <v>66</v>
      </c>
      <c r="B17" t="s">
        <v>99</v>
      </c>
      <c r="D17" s="4" t="s">
        <v>47</v>
      </c>
      <c r="E17" s="9" t="s">
        <v>112</v>
      </c>
      <c r="H17" s="4">
        <v>3</v>
      </c>
      <c r="I17" t="s">
        <v>113</v>
      </c>
      <c r="J17" t="s">
        <v>114</v>
      </c>
      <c r="K17" t="s">
        <v>115</v>
      </c>
      <c r="L17" t="s">
        <v>104</v>
      </c>
      <c r="M17" s="10" t="s">
        <v>116</v>
      </c>
      <c r="N17" s="8" t="s">
        <v>117</v>
      </c>
      <c r="Q17" t="s">
        <v>37</v>
      </c>
      <c r="R17" t="s">
        <v>38</v>
      </c>
      <c r="S17">
        <v>1</v>
      </c>
      <c r="T17">
        <v>5</v>
      </c>
      <c r="U17" s="5">
        <v>2</v>
      </c>
    </row>
    <row r="18" spans="1:21">
      <c r="A18" s="4" t="s">
        <v>66</v>
      </c>
      <c r="B18" t="s">
        <v>99</v>
      </c>
      <c r="D18" s="4" t="s">
        <v>47</v>
      </c>
      <c r="E18" s="9" t="s">
        <v>118</v>
      </c>
      <c r="H18" s="4">
        <v>40</v>
      </c>
      <c r="I18" t="s">
        <v>113</v>
      </c>
      <c r="J18" t="s">
        <v>114</v>
      </c>
      <c r="K18" t="s">
        <v>119</v>
      </c>
      <c r="L18" t="s">
        <v>104</v>
      </c>
      <c r="M18" s="10" t="s">
        <v>120</v>
      </c>
      <c r="N18" s="8" t="s">
        <v>121</v>
      </c>
      <c r="Q18" t="s">
        <v>37</v>
      </c>
      <c r="R18" t="s">
        <v>38</v>
      </c>
      <c r="S18">
        <v>1</v>
      </c>
      <c r="T18">
        <v>6</v>
      </c>
      <c r="U18" s="5">
        <v>1</v>
      </c>
    </row>
    <row r="19" spans="1:21">
      <c r="A19" s="4" t="s">
        <v>66</v>
      </c>
      <c r="B19" t="s">
        <v>99</v>
      </c>
      <c r="D19" s="4" t="s">
        <v>47</v>
      </c>
      <c r="E19" s="9" t="s">
        <v>122</v>
      </c>
      <c r="H19" s="4">
        <v>15</v>
      </c>
      <c r="I19" t="s">
        <v>123</v>
      </c>
      <c r="J19" t="s">
        <v>114</v>
      </c>
      <c r="K19" t="s">
        <v>124</v>
      </c>
      <c r="L19" t="s">
        <v>104</v>
      </c>
      <c r="M19" s="10" t="s">
        <v>125</v>
      </c>
      <c r="N19" s="8" t="s">
        <v>126</v>
      </c>
      <c r="Q19" t="s">
        <v>37</v>
      </c>
      <c r="R19" t="s">
        <v>38</v>
      </c>
      <c r="S19">
        <v>1</v>
      </c>
      <c r="T19">
        <v>6</v>
      </c>
      <c r="U19" s="5">
        <v>2</v>
      </c>
    </row>
    <row r="20" spans="1:21">
      <c r="A20" s="4" t="s">
        <v>66</v>
      </c>
      <c r="B20" t="s">
        <v>99</v>
      </c>
      <c r="D20" s="4" t="s">
        <v>47</v>
      </c>
      <c r="E20" s="9" t="s">
        <v>127</v>
      </c>
      <c r="H20" s="4">
        <v>3</v>
      </c>
      <c r="I20" t="s">
        <v>128</v>
      </c>
      <c r="J20" t="s">
        <v>129</v>
      </c>
      <c r="K20" t="s">
        <v>130</v>
      </c>
      <c r="L20" t="s">
        <v>104</v>
      </c>
      <c r="M20" s="10" t="s">
        <v>131</v>
      </c>
      <c r="N20" s="8" t="s">
        <v>132</v>
      </c>
      <c r="Q20" t="s">
        <v>37</v>
      </c>
      <c r="R20" t="s">
        <v>38</v>
      </c>
      <c r="S20">
        <v>1</v>
      </c>
      <c r="T20">
        <v>6</v>
      </c>
      <c r="U20" s="5">
        <v>3</v>
      </c>
    </row>
    <row r="21" spans="1:21">
      <c r="A21" s="4" t="s">
        <v>66</v>
      </c>
      <c r="B21" t="s">
        <v>99</v>
      </c>
      <c r="D21" s="4" t="s">
        <v>47</v>
      </c>
      <c r="E21" s="9" t="s">
        <v>133</v>
      </c>
      <c r="H21" s="4">
        <v>37</v>
      </c>
      <c r="I21" t="s">
        <v>113</v>
      </c>
      <c r="J21" t="s">
        <v>114</v>
      </c>
      <c r="K21" t="s">
        <v>134</v>
      </c>
      <c r="L21" t="s">
        <v>104</v>
      </c>
      <c r="M21" s="10" t="s">
        <v>96</v>
      </c>
      <c r="N21" s="8" t="s">
        <v>135</v>
      </c>
      <c r="Q21" t="s">
        <v>37</v>
      </c>
      <c r="R21" t="s">
        <v>38</v>
      </c>
      <c r="S21">
        <v>1</v>
      </c>
      <c r="T21">
        <v>7</v>
      </c>
      <c r="U21" s="5">
        <v>1</v>
      </c>
    </row>
    <row r="22" spans="1:21">
      <c r="A22" s="4" t="s">
        <v>66</v>
      </c>
      <c r="B22" t="s">
        <v>99</v>
      </c>
      <c r="D22" s="4" t="s">
        <v>47</v>
      </c>
      <c r="E22" s="9">
        <v>784771220</v>
      </c>
      <c r="H22" s="4">
        <v>6</v>
      </c>
      <c r="I22" t="s">
        <v>113</v>
      </c>
      <c r="J22" t="s">
        <v>114</v>
      </c>
      <c r="K22" t="s">
        <v>136</v>
      </c>
      <c r="L22" t="s">
        <v>104</v>
      </c>
      <c r="M22" s="10" t="s">
        <v>137</v>
      </c>
      <c r="N22" s="8" t="s">
        <v>138</v>
      </c>
      <c r="O22" s="11"/>
      <c r="P22" s="12"/>
      <c r="Q22" t="s">
        <v>37</v>
      </c>
      <c r="R22" t="s">
        <v>38</v>
      </c>
      <c r="S22">
        <v>1</v>
      </c>
      <c r="T22">
        <v>7</v>
      </c>
      <c r="U22" s="5">
        <v>2</v>
      </c>
    </row>
    <row r="23" spans="1:21">
      <c r="A23" s="4" t="s">
        <v>66</v>
      </c>
      <c r="B23" t="s">
        <v>139</v>
      </c>
      <c r="D23" s="4" t="s">
        <v>47</v>
      </c>
      <c r="E23" s="9" t="s">
        <v>140</v>
      </c>
      <c r="H23" s="4">
        <v>48</v>
      </c>
      <c r="I23" t="s">
        <v>141</v>
      </c>
      <c r="J23" t="s">
        <v>142</v>
      </c>
      <c r="K23" t="s">
        <v>143</v>
      </c>
      <c r="L23" t="s">
        <v>33</v>
      </c>
      <c r="M23" t="s">
        <v>144</v>
      </c>
      <c r="N23" s="8" t="s">
        <v>145</v>
      </c>
      <c r="Q23" t="s">
        <v>37</v>
      </c>
      <c r="R23" t="s">
        <v>38</v>
      </c>
      <c r="S23">
        <v>1</v>
      </c>
      <c r="T23">
        <v>10</v>
      </c>
      <c r="U23" s="5">
        <v>1</v>
      </c>
    </row>
    <row r="24" spans="1:21">
      <c r="A24" s="4" t="s">
        <v>66</v>
      </c>
      <c r="B24" t="s">
        <v>139</v>
      </c>
      <c r="D24" s="4" t="s">
        <v>47</v>
      </c>
      <c r="E24" s="9" t="s">
        <v>146</v>
      </c>
      <c r="H24" s="4">
        <v>50</v>
      </c>
      <c r="I24" t="s">
        <v>147</v>
      </c>
      <c r="J24" t="s">
        <v>142</v>
      </c>
      <c r="K24" t="s">
        <v>143</v>
      </c>
      <c r="L24" t="s">
        <v>33</v>
      </c>
      <c r="M24" t="s">
        <v>148</v>
      </c>
      <c r="N24" s="8" t="s">
        <v>149</v>
      </c>
      <c r="Q24" t="s">
        <v>37</v>
      </c>
      <c r="R24" t="s">
        <v>38</v>
      </c>
      <c r="S24">
        <v>1</v>
      </c>
      <c r="T24">
        <v>9</v>
      </c>
      <c r="U24" s="5">
        <v>5</v>
      </c>
    </row>
    <row r="25" spans="1:21">
      <c r="A25" s="4" t="s">
        <v>66</v>
      </c>
      <c r="B25" t="s">
        <v>139</v>
      </c>
      <c r="D25" s="4" t="s">
        <v>47</v>
      </c>
      <c r="E25" s="9" t="s">
        <v>150</v>
      </c>
      <c r="H25" s="4">
        <v>80</v>
      </c>
      <c r="I25" t="s">
        <v>151</v>
      </c>
      <c r="J25" t="s">
        <v>142</v>
      </c>
      <c r="K25" t="s">
        <v>143</v>
      </c>
      <c r="L25" t="s">
        <v>33</v>
      </c>
      <c r="M25" t="s">
        <v>152</v>
      </c>
      <c r="N25" s="8" t="s">
        <v>153</v>
      </c>
      <c r="Q25" t="s">
        <v>37</v>
      </c>
      <c r="R25" t="s">
        <v>38</v>
      </c>
      <c r="S25">
        <v>1</v>
      </c>
      <c r="T25">
        <v>9</v>
      </c>
      <c r="U25" s="5">
        <v>2</v>
      </c>
    </row>
    <row r="26" spans="1:21">
      <c r="A26" s="4" t="s">
        <v>66</v>
      </c>
      <c r="B26" t="s">
        <v>139</v>
      </c>
      <c r="D26" s="4" t="s">
        <v>47</v>
      </c>
      <c r="E26" s="9" t="s">
        <v>154</v>
      </c>
      <c r="H26" s="4">
        <v>100</v>
      </c>
      <c r="I26" t="s">
        <v>155</v>
      </c>
      <c r="J26" t="s">
        <v>142</v>
      </c>
      <c r="K26" t="s">
        <v>156</v>
      </c>
      <c r="L26" t="s">
        <v>33</v>
      </c>
      <c r="M26" t="s">
        <v>152</v>
      </c>
      <c r="N26" s="8" t="s">
        <v>157</v>
      </c>
      <c r="Q26" t="s">
        <v>37</v>
      </c>
      <c r="R26" t="s">
        <v>38</v>
      </c>
      <c r="S26">
        <v>1</v>
      </c>
      <c r="T26">
        <v>11</v>
      </c>
      <c r="U26" s="5">
        <v>1</v>
      </c>
    </row>
    <row r="27" spans="1:21">
      <c r="A27" s="4" t="s">
        <v>66</v>
      </c>
      <c r="B27" t="s">
        <v>139</v>
      </c>
      <c r="D27" s="4" t="s">
        <v>47</v>
      </c>
      <c r="E27" s="9" t="s">
        <v>158</v>
      </c>
      <c r="H27" s="4">
        <v>48</v>
      </c>
      <c r="I27" t="s">
        <v>159</v>
      </c>
      <c r="J27" t="s">
        <v>142</v>
      </c>
      <c r="K27" t="s">
        <v>143</v>
      </c>
      <c r="L27" t="s">
        <v>33</v>
      </c>
      <c r="M27" t="s">
        <v>160</v>
      </c>
      <c r="N27" s="8" t="s">
        <v>161</v>
      </c>
      <c r="Q27" t="s">
        <v>37</v>
      </c>
      <c r="R27" t="s">
        <v>38</v>
      </c>
      <c r="S27">
        <v>1</v>
      </c>
      <c r="T27">
        <v>10</v>
      </c>
      <c r="U27" s="5">
        <v>4</v>
      </c>
    </row>
    <row r="28" spans="1:21">
      <c r="A28" s="4" t="s">
        <v>66</v>
      </c>
      <c r="B28" t="s">
        <v>139</v>
      </c>
      <c r="D28" s="4" t="s">
        <v>47</v>
      </c>
      <c r="E28" s="9" t="s">
        <v>162</v>
      </c>
      <c r="H28" s="4">
        <v>10</v>
      </c>
      <c r="I28" t="s">
        <v>159</v>
      </c>
      <c r="J28" t="s">
        <v>142</v>
      </c>
      <c r="K28" t="s">
        <v>163</v>
      </c>
      <c r="L28" t="s">
        <v>33</v>
      </c>
      <c r="M28" t="s">
        <v>164</v>
      </c>
      <c r="N28" s="8" t="s">
        <v>165</v>
      </c>
      <c r="Q28" t="s">
        <v>37</v>
      </c>
      <c r="R28" t="s">
        <v>38</v>
      </c>
      <c r="S28">
        <v>1</v>
      </c>
      <c r="T28">
        <v>10</v>
      </c>
      <c r="U28" s="5">
        <v>7</v>
      </c>
    </row>
    <row r="29" spans="1:21">
      <c r="A29" s="4" t="s">
        <v>66</v>
      </c>
      <c r="B29" t="s">
        <v>139</v>
      </c>
      <c r="D29" s="4" t="s">
        <v>47</v>
      </c>
      <c r="E29" s="9" t="s">
        <v>166</v>
      </c>
      <c r="H29" s="4">
        <v>48</v>
      </c>
      <c r="I29" t="s">
        <v>123</v>
      </c>
      <c r="J29" t="s">
        <v>142</v>
      </c>
      <c r="K29" t="s">
        <v>143</v>
      </c>
      <c r="L29" t="s">
        <v>33</v>
      </c>
      <c r="M29" t="s">
        <v>167</v>
      </c>
      <c r="N29" s="8" t="s">
        <v>168</v>
      </c>
      <c r="Q29" t="s">
        <v>37</v>
      </c>
      <c r="R29" t="s">
        <v>38</v>
      </c>
      <c r="S29">
        <v>1</v>
      </c>
      <c r="T29">
        <v>9</v>
      </c>
      <c r="U29" s="5">
        <v>6</v>
      </c>
    </row>
    <row r="30" spans="1:21">
      <c r="A30" s="4" t="s">
        <v>66</v>
      </c>
      <c r="B30" t="s">
        <v>139</v>
      </c>
      <c r="D30" s="4" t="s">
        <v>47</v>
      </c>
      <c r="E30" s="9" t="s">
        <v>169</v>
      </c>
      <c r="H30" s="4">
        <v>16</v>
      </c>
      <c r="I30" t="s">
        <v>123</v>
      </c>
      <c r="J30" t="s">
        <v>142</v>
      </c>
      <c r="K30" t="s">
        <v>156</v>
      </c>
      <c r="L30" t="s">
        <v>33</v>
      </c>
      <c r="M30" t="s">
        <v>170</v>
      </c>
      <c r="N30" s="8" t="s">
        <v>171</v>
      </c>
      <c r="Q30" t="s">
        <v>37</v>
      </c>
      <c r="R30" t="s">
        <v>38</v>
      </c>
      <c r="S30">
        <v>1</v>
      </c>
      <c r="T30">
        <v>11</v>
      </c>
      <c r="U30" s="5">
        <v>3</v>
      </c>
    </row>
    <row r="31" spans="1:21">
      <c r="A31" s="4" t="s">
        <v>66</v>
      </c>
      <c r="B31" t="s">
        <v>99</v>
      </c>
      <c r="D31" s="4" t="s">
        <v>47</v>
      </c>
      <c r="E31" s="9" t="s">
        <v>172</v>
      </c>
      <c r="H31" s="4">
        <v>9</v>
      </c>
      <c r="I31" t="s">
        <v>173</v>
      </c>
      <c r="J31" t="s">
        <v>114</v>
      </c>
      <c r="K31" t="s">
        <v>174</v>
      </c>
      <c r="L31" t="s">
        <v>104</v>
      </c>
      <c r="M31" s="10" t="s">
        <v>96</v>
      </c>
      <c r="N31" s="8" t="s">
        <v>175</v>
      </c>
      <c r="O31" s="11"/>
      <c r="P31" s="12"/>
      <c r="Q31" t="s">
        <v>37</v>
      </c>
      <c r="R31" t="s">
        <v>38</v>
      </c>
      <c r="S31">
        <v>1</v>
      </c>
      <c r="T31">
        <v>7</v>
      </c>
      <c r="U31" s="5">
        <v>3</v>
      </c>
    </row>
    <row r="32" spans="1:21">
      <c r="A32" s="4" t="s">
        <v>66</v>
      </c>
      <c r="B32" t="s">
        <v>99</v>
      </c>
      <c r="D32" s="4" t="s">
        <v>47</v>
      </c>
      <c r="E32" s="9" t="s">
        <v>176</v>
      </c>
      <c r="H32" s="4">
        <v>4</v>
      </c>
      <c r="I32" t="s">
        <v>177</v>
      </c>
      <c r="J32" t="s">
        <v>178</v>
      </c>
      <c r="K32" t="s">
        <v>179</v>
      </c>
      <c r="L32" t="s">
        <v>180</v>
      </c>
      <c r="M32" t="s">
        <v>181</v>
      </c>
      <c r="N32" s="8" t="s">
        <v>182</v>
      </c>
      <c r="Q32" t="s">
        <v>37</v>
      </c>
      <c r="R32" t="s">
        <v>38</v>
      </c>
      <c r="S32">
        <v>1</v>
      </c>
      <c r="T32">
        <v>8</v>
      </c>
      <c r="U32" s="5">
        <v>1</v>
      </c>
    </row>
    <row r="33" spans="1:21">
      <c r="A33" s="4" t="s">
        <v>66</v>
      </c>
      <c r="B33" t="s">
        <v>139</v>
      </c>
      <c r="D33" s="4" t="s">
        <v>47</v>
      </c>
      <c r="E33" s="9" t="s">
        <v>183</v>
      </c>
      <c r="H33" s="4">
        <v>8</v>
      </c>
      <c r="I33" t="s">
        <v>113</v>
      </c>
      <c r="J33" t="s">
        <v>142</v>
      </c>
      <c r="K33" t="s">
        <v>184</v>
      </c>
      <c r="L33" t="s">
        <v>33</v>
      </c>
      <c r="M33" t="s">
        <v>152</v>
      </c>
      <c r="N33" s="8" t="s">
        <v>185</v>
      </c>
      <c r="Q33" t="s">
        <v>37</v>
      </c>
      <c r="R33" t="s">
        <v>38</v>
      </c>
      <c r="S33">
        <v>1</v>
      </c>
      <c r="T33">
        <v>9</v>
      </c>
      <c r="U33" s="5">
        <v>1</v>
      </c>
    </row>
    <row r="34" spans="1:21">
      <c r="A34" s="4" t="s">
        <v>66</v>
      </c>
      <c r="B34" t="s">
        <v>139</v>
      </c>
      <c r="D34" s="4" t="s">
        <v>47</v>
      </c>
      <c r="E34" s="9" t="s">
        <v>186</v>
      </c>
      <c r="H34" s="4">
        <v>30</v>
      </c>
      <c r="I34" t="s">
        <v>113</v>
      </c>
      <c r="J34" t="s">
        <v>142</v>
      </c>
      <c r="K34" t="s">
        <v>143</v>
      </c>
      <c r="L34" t="s">
        <v>33</v>
      </c>
      <c r="M34" t="s">
        <v>187</v>
      </c>
      <c r="N34" s="8" t="s">
        <v>188</v>
      </c>
      <c r="Q34" t="s">
        <v>37</v>
      </c>
      <c r="R34" t="s">
        <v>38</v>
      </c>
      <c r="S34">
        <v>1</v>
      </c>
      <c r="T34">
        <v>9</v>
      </c>
      <c r="U34" s="5">
        <v>3</v>
      </c>
    </row>
    <row r="35" spans="1:21">
      <c r="A35" s="4" t="s">
        <v>66</v>
      </c>
      <c r="B35" t="s">
        <v>139</v>
      </c>
      <c r="D35" s="4" t="s">
        <v>47</v>
      </c>
      <c r="E35" s="9" t="s">
        <v>189</v>
      </c>
      <c r="H35" s="4">
        <v>38</v>
      </c>
      <c r="I35" t="s">
        <v>190</v>
      </c>
      <c r="J35" t="s">
        <v>142</v>
      </c>
      <c r="K35" t="s">
        <v>143</v>
      </c>
      <c r="L35" t="s">
        <v>33</v>
      </c>
      <c r="M35" t="s">
        <v>170</v>
      </c>
      <c r="N35" s="8" t="s">
        <v>191</v>
      </c>
      <c r="Q35" t="s">
        <v>37</v>
      </c>
      <c r="R35" t="s">
        <v>38</v>
      </c>
      <c r="S35">
        <v>1</v>
      </c>
      <c r="T35">
        <v>9</v>
      </c>
      <c r="U35" s="5">
        <v>7</v>
      </c>
    </row>
    <row r="36" spans="1:21">
      <c r="A36" s="4" t="s">
        <v>66</v>
      </c>
      <c r="B36" t="s">
        <v>139</v>
      </c>
      <c r="D36" s="4" t="s">
        <v>47</v>
      </c>
      <c r="E36" s="9" t="s">
        <v>192</v>
      </c>
      <c r="H36" s="4">
        <v>30</v>
      </c>
      <c r="I36" t="s">
        <v>193</v>
      </c>
      <c r="J36" t="s">
        <v>142</v>
      </c>
      <c r="K36" t="s">
        <v>143</v>
      </c>
      <c r="L36" t="s">
        <v>33</v>
      </c>
      <c r="M36" t="s">
        <v>194</v>
      </c>
      <c r="N36" s="8" t="s">
        <v>195</v>
      </c>
      <c r="Q36" t="s">
        <v>37</v>
      </c>
      <c r="R36" t="s">
        <v>38</v>
      </c>
      <c r="S36">
        <v>1</v>
      </c>
      <c r="T36">
        <v>9</v>
      </c>
      <c r="U36" s="5">
        <v>4</v>
      </c>
    </row>
    <row r="37" spans="1:21">
      <c r="A37" s="4" t="s">
        <v>66</v>
      </c>
      <c r="B37" t="s">
        <v>139</v>
      </c>
      <c r="D37" s="4" t="s">
        <v>47</v>
      </c>
      <c r="E37" s="9" t="s">
        <v>196</v>
      </c>
      <c r="H37" s="4">
        <v>40</v>
      </c>
      <c r="I37" t="s">
        <v>197</v>
      </c>
      <c r="J37" t="s">
        <v>142</v>
      </c>
      <c r="K37" t="s">
        <v>156</v>
      </c>
      <c r="L37" t="s">
        <v>33</v>
      </c>
      <c r="M37" t="s">
        <v>187</v>
      </c>
      <c r="N37" s="8" t="s">
        <v>198</v>
      </c>
      <c r="Q37" t="s">
        <v>37</v>
      </c>
      <c r="R37" t="s">
        <v>38</v>
      </c>
      <c r="S37">
        <v>1</v>
      </c>
      <c r="T37">
        <v>11</v>
      </c>
      <c r="U37" s="5">
        <v>2</v>
      </c>
    </row>
    <row r="38" spans="1:21">
      <c r="A38" s="4" t="s">
        <v>66</v>
      </c>
      <c r="B38" t="s">
        <v>139</v>
      </c>
      <c r="D38" s="4" t="s">
        <v>47</v>
      </c>
      <c r="E38" s="9" t="s">
        <v>199</v>
      </c>
      <c r="H38" s="4">
        <v>1</v>
      </c>
      <c r="I38" t="s">
        <v>200</v>
      </c>
      <c r="J38" t="s">
        <v>142</v>
      </c>
      <c r="K38" t="s">
        <v>201</v>
      </c>
      <c r="L38" t="s">
        <v>180</v>
      </c>
      <c r="M38" t="s">
        <v>202</v>
      </c>
      <c r="N38" s="8" t="s">
        <v>203</v>
      </c>
      <c r="Q38" t="s">
        <v>204</v>
      </c>
    </row>
    <row r="39" spans="1:21">
      <c r="A39" s="4" t="s">
        <v>66</v>
      </c>
      <c r="B39" t="s">
        <v>139</v>
      </c>
      <c r="D39" s="4" t="s">
        <v>47</v>
      </c>
      <c r="E39" s="9" t="s">
        <v>205</v>
      </c>
      <c r="H39" s="4">
        <v>1</v>
      </c>
      <c r="I39" t="s">
        <v>200</v>
      </c>
      <c r="J39" t="s">
        <v>142</v>
      </c>
      <c r="K39" t="s">
        <v>206</v>
      </c>
      <c r="L39" t="s">
        <v>33</v>
      </c>
      <c r="M39" t="s">
        <v>202</v>
      </c>
      <c r="N39" s="8" t="s">
        <v>207</v>
      </c>
      <c r="Q39" t="s">
        <v>204</v>
      </c>
    </row>
    <row r="40" spans="1:21">
      <c r="A40" s="4" t="s">
        <v>66</v>
      </c>
      <c r="B40" t="s">
        <v>139</v>
      </c>
      <c r="D40" s="4" t="s">
        <v>40</v>
      </c>
      <c r="E40" s="9" t="s">
        <v>208</v>
      </c>
      <c r="H40" s="4">
        <v>1</v>
      </c>
      <c r="I40" t="s">
        <v>200</v>
      </c>
      <c r="J40" t="s">
        <v>209</v>
      </c>
      <c r="K40" t="s">
        <v>210</v>
      </c>
      <c r="L40" t="s">
        <v>33</v>
      </c>
      <c r="M40" s="10" t="s">
        <v>51</v>
      </c>
      <c r="N40" s="8" t="s">
        <v>211</v>
      </c>
      <c r="Q40" t="s">
        <v>204</v>
      </c>
    </row>
    <row r="41" spans="1:21">
      <c r="A41" s="4" t="s">
        <v>66</v>
      </c>
      <c r="B41" t="s">
        <v>139</v>
      </c>
      <c r="D41" s="4" t="s">
        <v>40</v>
      </c>
      <c r="E41" s="9" t="s">
        <v>212</v>
      </c>
      <c r="H41" s="4">
        <v>1</v>
      </c>
      <c r="I41" t="s">
        <v>200</v>
      </c>
      <c r="J41" t="s">
        <v>209</v>
      </c>
      <c r="K41" t="s">
        <v>213</v>
      </c>
      <c r="L41" t="s">
        <v>33</v>
      </c>
      <c r="M41" s="10" t="s">
        <v>51</v>
      </c>
      <c r="N41" s="8" t="s">
        <v>211</v>
      </c>
      <c r="Q41" t="s">
        <v>204</v>
      </c>
    </row>
    <row r="42" spans="1:21">
      <c r="A42" s="4" t="s">
        <v>66</v>
      </c>
      <c r="B42" t="s">
        <v>99</v>
      </c>
      <c r="D42" s="4" t="s">
        <v>47</v>
      </c>
      <c r="E42" s="9" t="s">
        <v>214</v>
      </c>
      <c r="H42" s="4">
        <v>100</v>
      </c>
      <c r="I42" t="s">
        <v>215</v>
      </c>
      <c r="J42" t="s">
        <v>216</v>
      </c>
      <c r="K42" t="s">
        <v>217</v>
      </c>
      <c r="L42" t="s">
        <v>33</v>
      </c>
      <c r="M42" s="10" t="s">
        <v>51</v>
      </c>
      <c r="N42" s="8" t="s">
        <v>218</v>
      </c>
      <c r="Q42" t="s">
        <v>37</v>
      </c>
      <c r="R42" t="s">
        <v>38</v>
      </c>
      <c r="S42">
        <v>1</v>
      </c>
      <c r="T42">
        <v>5</v>
      </c>
      <c r="U42" s="5">
        <v>3</v>
      </c>
    </row>
    <row r="43" spans="1:21">
      <c r="A43" s="4" t="s">
        <v>219</v>
      </c>
      <c r="B43" t="s">
        <v>220</v>
      </c>
      <c r="D43" s="4" t="s">
        <v>221</v>
      </c>
      <c r="E43" s="9" t="s">
        <v>222</v>
      </c>
      <c r="F43" t="s">
        <v>29</v>
      </c>
      <c r="G43" s="13">
        <v>3780527</v>
      </c>
      <c r="H43" s="4">
        <v>4</v>
      </c>
      <c r="I43" t="s">
        <v>223</v>
      </c>
      <c r="J43" t="s">
        <v>224</v>
      </c>
      <c r="K43" t="s">
        <v>225</v>
      </c>
      <c r="L43" t="s">
        <v>180</v>
      </c>
      <c r="M43" t="s">
        <v>34</v>
      </c>
      <c r="N43" s="8" t="s">
        <v>226</v>
      </c>
      <c r="O43" s="3" t="s">
        <v>227</v>
      </c>
      <c r="Q43" t="s">
        <v>37</v>
      </c>
      <c r="R43" t="s">
        <v>38</v>
      </c>
      <c r="S43">
        <v>2</v>
      </c>
      <c r="T43" t="s">
        <v>90</v>
      </c>
      <c r="U43" s="5" t="s">
        <v>90</v>
      </c>
    </row>
    <row r="44" spans="1:21">
      <c r="A44" s="4" t="s">
        <v>219</v>
      </c>
      <c r="B44" t="s">
        <v>220</v>
      </c>
      <c r="D44" s="4" t="s">
        <v>221</v>
      </c>
      <c r="E44" s="9" t="s">
        <v>228</v>
      </c>
      <c r="F44" t="s">
        <v>29</v>
      </c>
      <c r="G44" s="13">
        <v>3556397</v>
      </c>
      <c r="H44" s="4">
        <v>4</v>
      </c>
      <c r="I44" t="s">
        <v>229</v>
      </c>
      <c r="J44" t="s">
        <v>224</v>
      </c>
      <c r="K44" t="s">
        <v>230</v>
      </c>
      <c r="L44" t="s">
        <v>180</v>
      </c>
      <c r="M44" t="s">
        <v>34</v>
      </c>
      <c r="N44" s="8" t="s">
        <v>231</v>
      </c>
      <c r="O44" s="3" t="s">
        <v>232</v>
      </c>
      <c r="Q44" t="s">
        <v>37</v>
      </c>
      <c r="R44" t="s">
        <v>38</v>
      </c>
      <c r="S44">
        <v>2</v>
      </c>
      <c r="T44" t="s">
        <v>90</v>
      </c>
      <c r="U44" s="5" t="s">
        <v>90</v>
      </c>
    </row>
    <row r="45" spans="1:21">
      <c r="A45" s="4" t="s">
        <v>219</v>
      </c>
      <c r="B45" t="s">
        <v>220</v>
      </c>
      <c r="D45" s="4" t="s">
        <v>233</v>
      </c>
      <c r="E45" s="9" t="s">
        <v>234</v>
      </c>
      <c r="F45" t="s">
        <v>29</v>
      </c>
      <c r="G45" s="13">
        <v>1772165</v>
      </c>
      <c r="H45" s="4">
        <v>1</v>
      </c>
      <c r="I45" t="s">
        <v>235</v>
      </c>
      <c r="J45" t="s">
        <v>224</v>
      </c>
      <c r="K45" t="s">
        <v>236</v>
      </c>
      <c r="L45" t="s">
        <v>180</v>
      </c>
      <c r="M45" t="s">
        <v>34</v>
      </c>
      <c r="N45" s="8" t="s">
        <v>237</v>
      </c>
      <c r="O45" s="3" t="s">
        <v>238</v>
      </c>
      <c r="Q45" t="s">
        <v>37</v>
      </c>
      <c r="R45" t="s">
        <v>38</v>
      </c>
      <c r="S45">
        <v>2</v>
      </c>
      <c r="T45" t="s">
        <v>90</v>
      </c>
      <c r="U45" s="5" t="s">
        <v>90</v>
      </c>
    </row>
    <row r="46" spans="1:21">
      <c r="A46" s="4" t="s">
        <v>219</v>
      </c>
      <c r="B46" t="s">
        <v>220</v>
      </c>
      <c r="D46" s="4" t="s">
        <v>233</v>
      </c>
      <c r="E46" s="9" t="s">
        <v>239</v>
      </c>
      <c r="F46" t="s">
        <v>29</v>
      </c>
      <c r="G46" s="13">
        <v>1672144</v>
      </c>
      <c r="H46" s="4">
        <v>1</v>
      </c>
      <c r="I46" t="s">
        <v>240</v>
      </c>
      <c r="J46" t="s">
        <v>224</v>
      </c>
      <c r="K46" t="s">
        <v>241</v>
      </c>
      <c r="L46" t="s">
        <v>180</v>
      </c>
      <c r="M46" t="s">
        <v>34</v>
      </c>
      <c r="N46" s="8" t="s">
        <v>242</v>
      </c>
      <c r="O46" s="3" t="s">
        <v>243</v>
      </c>
      <c r="Q46" t="s">
        <v>37</v>
      </c>
      <c r="R46" t="s">
        <v>38</v>
      </c>
      <c r="S46">
        <v>2</v>
      </c>
      <c r="T46" t="s">
        <v>90</v>
      </c>
      <c r="U46" s="5" t="s">
        <v>90</v>
      </c>
    </row>
    <row r="47" spans="1:21">
      <c r="A47" s="4" t="s">
        <v>244</v>
      </c>
      <c r="B47" t="s">
        <v>245</v>
      </c>
      <c r="D47" s="4" t="s">
        <v>246</v>
      </c>
      <c r="E47" s="9" t="s">
        <v>247</v>
      </c>
      <c r="F47" t="s">
        <v>85</v>
      </c>
      <c r="G47" s="13" t="s">
        <v>248</v>
      </c>
      <c r="H47" s="4">
        <v>16</v>
      </c>
      <c r="I47" t="s">
        <v>249</v>
      </c>
      <c r="J47" t="s">
        <v>250</v>
      </c>
      <c r="K47" t="s">
        <v>251</v>
      </c>
      <c r="L47" t="s">
        <v>33</v>
      </c>
      <c r="M47" t="s">
        <v>252</v>
      </c>
      <c r="O47" s="3" t="s">
        <v>253</v>
      </c>
      <c r="Q47" t="s">
        <v>37</v>
      </c>
      <c r="R47" t="s">
        <v>38</v>
      </c>
      <c r="S47">
        <v>3</v>
      </c>
      <c r="T47">
        <v>1</v>
      </c>
      <c r="U47" s="5">
        <v>1</v>
      </c>
    </row>
    <row r="48" spans="1:21">
      <c r="A48" s="4" t="s">
        <v>244</v>
      </c>
      <c r="B48" t="s">
        <v>245</v>
      </c>
      <c r="D48" s="4" t="s">
        <v>254</v>
      </c>
      <c r="E48" s="9" t="s">
        <v>255</v>
      </c>
      <c r="F48" t="s">
        <v>29</v>
      </c>
      <c r="G48" s="13">
        <v>2981170</v>
      </c>
      <c r="H48" s="4">
        <v>53</v>
      </c>
      <c r="I48" t="s">
        <v>256</v>
      </c>
      <c r="J48" t="s">
        <v>257</v>
      </c>
      <c r="K48" t="s">
        <v>258</v>
      </c>
      <c r="L48" t="s">
        <v>33</v>
      </c>
      <c r="M48" t="s">
        <v>259</v>
      </c>
      <c r="O48" s="3" t="s">
        <v>260</v>
      </c>
      <c r="Q48" t="s">
        <v>37</v>
      </c>
      <c r="R48" t="s">
        <v>38</v>
      </c>
      <c r="S48">
        <v>3</v>
      </c>
      <c r="T48">
        <v>3</v>
      </c>
      <c r="U48" s="5">
        <v>4</v>
      </c>
    </row>
    <row r="49" spans="1:21">
      <c r="A49" s="4" t="s">
        <v>244</v>
      </c>
      <c r="B49" t="s">
        <v>261</v>
      </c>
      <c r="D49" s="4" t="s">
        <v>262</v>
      </c>
      <c r="E49" s="9" t="s">
        <v>263</v>
      </c>
      <c r="F49" t="s">
        <v>264</v>
      </c>
      <c r="G49" s="13" t="s">
        <v>265</v>
      </c>
      <c r="H49" s="4">
        <v>7</v>
      </c>
      <c r="J49" t="s">
        <v>266</v>
      </c>
      <c r="K49" t="s">
        <v>229</v>
      </c>
      <c r="L49" t="s">
        <v>33</v>
      </c>
      <c r="M49" t="s">
        <v>267</v>
      </c>
      <c r="O49" s="3" t="s">
        <v>268</v>
      </c>
      <c r="Q49" t="s">
        <v>37</v>
      </c>
      <c r="R49" t="s">
        <v>38</v>
      </c>
      <c r="S49">
        <v>3</v>
      </c>
      <c r="T49">
        <v>3</v>
      </c>
      <c r="U49" s="5">
        <v>3</v>
      </c>
    </row>
    <row r="50" spans="1:21">
      <c r="A50" s="4" t="s">
        <v>269</v>
      </c>
      <c r="B50" t="s">
        <v>270</v>
      </c>
      <c r="E50" s="9" t="s">
        <v>271</v>
      </c>
      <c r="F50" t="s">
        <v>272</v>
      </c>
      <c r="G50" s="13">
        <v>38176</v>
      </c>
      <c r="H50" s="4">
        <v>8</v>
      </c>
      <c r="I50" t="s">
        <v>273</v>
      </c>
      <c r="J50" t="s">
        <v>274</v>
      </c>
      <c r="K50" t="s">
        <v>275</v>
      </c>
      <c r="L50" t="s">
        <v>180</v>
      </c>
      <c r="O50" s="3" t="s">
        <v>276</v>
      </c>
      <c r="Q50" t="s">
        <v>37</v>
      </c>
      <c r="R50" t="s">
        <v>38</v>
      </c>
      <c r="S50">
        <v>3</v>
      </c>
      <c r="T50">
        <v>6</v>
      </c>
      <c r="U50" s="5">
        <v>6</v>
      </c>
    </row>
    <row r="51" spans="1:21">
      <c r="A51" s="4" t="s">
        <v>219</v>
      </c>
      <c r="B51" t="s">
        <v>277</v>
      </c>
      <c r="D51" s="4" t="s">
        <v>278</v>
      </c>
      <c r="E51" s="9" t="s">
        <v>279</v>
      </c>
      <c r="F51" t="s">
        <v>264</v>
      </c>
      <c r="G51" s="13" t="s">
        <v>280</v>
      </c>
      <c r="H51" s="4">
        <v>18</v>
      </c>
      <c r="I51" t="s">
        <v>223</v>
      </c>
      <c r="J51" t="s">
        <v>281</v>
      </c>
      <c r="K51" t="s">
        <v>282</v>
      </c>
      <c r="L51" t="s">
        <v>180</v>
      </c>
      <c r="M51" t="s">
        <v>283</v>
      </c>
      <c r="N51" s="8" t="s">
        <v>284</v>
      </c>
      <c r="O51" s="3" t="s">
        <v>285</v>
      </c>
      <c r="Q51" t="s">
        <v>37</v>
      </c>
      <c r="R51" t="s">
        <v>38</v>
      </c>
      <c r="S51">
        <v>2</v>
      </c>
      <c r="T51">
        <v>4</v>
      </c>
      <c r="U51" s="5">
        <v>2</v>
      </c>
    </row>
    <row r="52" spans="1:21">
      <c r="A52" s="4" t="s">
        <v>219</v>
      </c>
      <c r="B52" t="s">
        <v>277</v>
      </c>
      <c r="D52" s="4" t="s">
        <v>221</v>
      </c>
      <c r="E52" s="9" t="s">
        <v>286</v>
      </c>
      <c r="F52" t="s">
        <v>29</v>
      </c>
      <c r="G52" s="13">
        <v>3652723</v>
      </c>
      <c r="H52" s="4">
        <v>5</v>
      </c>
      <c r="I52" t="s">
        <v>223</v>
      </c>
      <c r="J52" t="s">
        <v>281</v>
      </c>
      <c r="K52" t="s">
        <v>282</v>
      </c>
      <c r="L52" t="s">
        <v>180</v>
      </c>
      <c r="M52" t="s">
        <v>283</v>
      </c>
      <c r="N52" s="8" t="s">
        <v>287</v>
      </c>
      <c r="O52" s="3" t="s">
        <v>288</v>
      </c>
      <c r="Q52" t="s">
        <v>37</v>
      </c>
      <c r="R52" t="s">
        <v>38</v>
      </c>
      <c r="S52">
        <v>2</v>
      </c>
      <c r="T52">
        <v>4</v>
      </c>
      <c r="U52" s="5">
        <v>3</v>
      </c>
    </row>
    <row r="53" spans="1:21">
      <c r="A53" s="4" t="s">
        <v>219</v>
      </c>
      <c r="B53" t="s">
        <v>277</v>
      </c>
      <c r="D53" s="4" t="s">
        <v>289</v>
      </c>
      <c r="E53" s="9" t="s">
        <v>290</v>
      </c>
      <c r="F53" t="s">
        <v>85</v>
      </c>
      <c r="G53" s="13" t="s">
        <v>291</v>
      </c>
      <c r="H53" s="4">
        <v>0</v>
      </c>
      <c r="I53" t="s">
        <v>229</v>
      </c>
      <c r="J53" t="s">
        <v>292</v>
      </c>
      <c r="K53" t="s">
        <v>293</v>
      </c>
      <c r="L53" t="s">
        <v>180</v>
      </c>
      <c r="M53" t="s">
        <v>294</v>
      </c>
      <c r="N53" s="8" t="s">
        <v>295</v>
      </c>
      <c r="O53" s="3" t="s">
        <v>296</v>
      </c>
      <c r="Q53" t="s">
        <v>37</v>
      </c>
      <c r="R53" t="s">
        <v>38</v>
      </c>
      <c r="S53">
        <v>2</v>
      </c>
      <c r="T53">
        <v>3</v>
      </c>
      <c r="U53" s="5">
        <v>1</v>
      </c>
    </row>
    <row r="54" spans="1:21">
      <c r="A54" s="4" t="s">
        <v>219</v>
      </c>
      <c r="B54" t="s">
        <v>277</v>
      </c>
      <c r="D54" s="4" t="s">
        <v>47</v>
      </c>
      <c r="E54" s="9" t="s">
        <v>297</v>
      </c>
      <c r="H54" s="4">
        <v>10</v>
      </c>
      <c r="I54" t="s">
        <v>298</v>
      </c>
      <c r="J54" t="s">
        <v>292</v>
      </c>
      <c r="K54" t="s">
        <v>299</v>
      </c>
      <c r="L54" t="s">
        <v>33</v>
      </c>
      <c r="M54" t="s">
        <v>34</v>
      </c>
      <c r="N54" s="8" t="s">
        <v>300</v>
      </c>
      <c r="Q54" t="s">
        <v>37</v>
      </c>
      <c r="R54" t="s">
        <v>38</v>
      </c>
      <c r="S54">
        <v>2</v>
      </c>
      <c r="T54">
        <v>3</v>
      </c>
      <c r="U54" s="5">
        <v>3</v>
      </c>
    </row>
    <row r="55" spans="1:21">
      <c r="A55" s="4" t="s">
        <v>219</v>
      </c>
      <c r="B55" t="s">
        <v>277</v>
      </c>
      <c r="D55" s="4" t="s">
        <v>47</v>
      </c>
      <c r="E55" s="9" t="s">
        <v>301</v>
      </c>
      <c r="H55" s="4">
        <v>4</v>
      </c>
      <c r="I55" t="s">
        <v>302</v>
      </c>
      <c r="J55" t="s">
        <v>292</v>
      </c>
      <c r="K55" t="s">
        <v>303</v>
      </c>
      <c r="L55" t="s">
        <v>180</v>
      </c>
      <c r="M55" t="s">
        <v>304</v>
      </c>
      <c r="N55" s="8" t="s">
        <v>305</v>
      </c>
      <c r="Q55" t="s">
        <v>37</v>
      </c>
      <c r="R55" t="s">
        <v>38</v>
      </c>
      <c r="S55">
        <v>2</v>
      </c>
      <c r="T55" t="s">
        <v>90</v>
      </c>
      <c r="U55" s="5" t="s">
        <v>90</v>
      </c>
    </row>
    <row r="56" spans="1:21">
      <c r="A56" s="4" t="s">
        <v>219</v>
      </c>
      <c r="B56" t="s">
        <v>277</v>
      </c>
      <c r="D56" s="4" t="s">
        <v>47</v>
      </c>
      <c r="E56" s="9" t="s">
        <v>306</v>
      </c>
      <c r="H56" s="4">
        <v>6</v>
      </c>
      <c r="I56" t="s">
        <v>229</v>
      </c>
      <c r="J56" t="s">
        <v>292</v>
      </c>
      <c r="K56" t="s">
        <v>307</v>
      </c>
      <c r="L56" t="s">
        <v>180</v>
      </c>
      <c r="M56" t="s">
        <v>304</v>
      </c>
      <c r="N56" s="8" t="s">
        <v>308</v>
      </c>
      <c r="Q56" t="s">
        <v>37</v>
      </c>
      <c r="R56" t="s">
        <v>38</v>
      </c>
      <c r="S56">
        <v>2</v>
      </c>
      <c r="T56">
        <v>3</v>
      </c>
      <c r="U56" s="5">
        <v>2</v>
      </c>
    </row>
    <row r="57" spans="1:21">
      <c r="A57" s="4" t="s">
        <v>219</v>
      </c>
      <c r="B57" t="s">
        <v>277</v>
      </c>
      <c r="D57" s="4" t="s">
        <v>47</v>
      </c>
      <c r="E57" s="9" t="s">
        <v>309</v>
      </c>
      <c r="H57" s="4">
        <v>11</v>
      </c>
      <c r="I57" t="s">
        <v>310</v>
      </c>
      <c r="J57" t="s">
        <v>281</v>
      </c>
      <c r="K57" t="s">
        <v>311</v>
      </c>
      <c r="L57" t="s">
        <v>33</v>
      </c>
      <c r="M57" t="s">
        <v>312</v>
      </c>
      <c r="N57" s="8" t="s">
        <v>313</v>
      </c>
      <c r="Q57" t="s">
        <v>37</v>
      </c>
      <c r="R57" t="s">
        <v>38</v>
      </c>
      <c r="S57">
        <v>2</v>
      </c>
      <c r="T57">
        <v>4</v>
      </c>
      <c r="U57" s="5">
        <v>1</v>
      </c>
    </row>
    <row r="58" spans="1:21">
      <c r="A58" s="4" t="s">
        <v>244</v>
      </c>
      <c r="B58" t="s">
        <v>314</v>
      </c>
      <c r="D58" s="4" t="s">
        <v>315</v>
      </c>
      <c r="E58" s="9" t="s">
        <v>316</v>
      </c>
      <c r="F58" t="s">
        <v>29</v>
      </c>
      <c r="G58" s="13">
        <v>1843678</v>
      </c>
      <c r="H58" s="4">
        <v>20</v>
      </c>
      <c r="I58" t="s">
        <v>317</v>
      </c>
      <c r="J58" t="s">
        <v>318</v>
      </c>
      <c r="K58" t="s">
        <v>319</v>
      </c>
      <c r="L58" t="s">
        <v>33</v>
      </c>
      <c r="M58" t="s">
        <v>320</v>
      </c>
      <c r="N58" s="8" t="s">
        <v>321</v>
      </c>
      <c r="O58" s="3" t="s">
        <v>322</v>
      </c>
      <c r="Q58" t="s">
        <v>37</v>
      </c>
      <c r="R58" t="s">
        <v>38</v>
      </c>
      <c r="S58">
        <v>2</v>
      </c>
      <c r="T58">
        <v>5</v>
      </c>
      <c r="U58" s="5">
        <v>1</v>
      </c>
    </row>
    <row r="59" spans="1:21">
      <c r="A59" s="4" t="s">
        <v>244</v>
      </c>
      <c r="B59" t="s">
        <v>314</v>
      </c>
      <c r="D59" s="4" t="s">
        <v>323</v>
      </c>
      <c r="E59" s="9" t="s">
        <v>324</v>
      </c>
      <c r="F59" t="s">
        <v>29</v>
      </c>
      <c r="G59" s="13">
        <v>4066566</v>
      </c>
      <c r="H59" s="4">
        <v>35</v>
      </c>
      <c r="I59" t="s">
        <v>325</v>
      </c>
      <c r="J59" t="s">
        <v>326</v>
      </c>
      <c r="K59" t="s">
        <v>327</v>
      </c>
      <c r="L59" t="s">
        <v>33</v>
      </c>
      <c r="M59" t="s">
        <v>328</v>
      </c>
      <c r="N59" s="8" t="s">
        <v>329</v>
      </c>
      <c r="O59" s="3" t="s">
        <v>330</v>
      </c>
      <c r="Q59" t="s">
        <v>37</v>
      </c>
      <c r="R59" t="s">
        <v>38</v>
      </c>
      <c r="S59">
        <v>2</v>
      </c>
      <c r="T59">
        <v>5</v>
      </c>
      <c r="U59" s="5">
        <v>3</v>
      </c>
    </row>
    <row r="60" spans="1:21">
      <c r="A60" s="4" t="s">
        <v>244</v>
      </c>
      <c r="B60" t="s">
        <v>314</v>
      </c>
      <c r="D60" s="4" t="s">
        <v>254</v>
      </c>
      <c r="E60" s="9" t="s">
        <v>331</v>
      </c>
      <c r="F60" t="s">
        <v>29</v>
      </c>
      <c r="G60" s="13">
        <v>2824885</v>
      </c>
      <c r="H60" s="4">
        <v>18</v>
      </c>
      <c r="I60" t="s">
        <v>332</v>
      </c>
      <c r="J60" t="s">
        <v>326</v>
      </c>
      <c r="K60" t="s">
        <v>333</v>
      </c>
      <c r="L60" t="s">
        <v>33</v>
      </c>
      <c r="M60" t="s">
        <v>334</v>
      </c>
      <c r="N60" s="14" t="s">
        <v>335</v>
      </c>
      <c r="O60" s="15" t="s">
        <v>336</v>
      </c>
      <c r="Q60" t="s">
        <v>37</v>
      </c>
      <c r="R60" t="s">
        <v>38</v>
      </c>
      <c r="S60">
        <v>2</v>
      </c>
      <c r="T60">
        <v>6</v>
      </c>
      <c r="U60" s="5">
        <v>3</v>
      </c>
    </row>
    <row r="61" spans="1:21">
      <c r="A61" s="4" t="s">
        <v>244</v>
      </c>
      <c r="B61" t="s">
        <v>314</v>
      </c>
      <c r="D61" s="4" t="s">
        <v>337</v>
      </c>
      <c r="E61" s="9" t="s">
        <v>338</v>
      </c>
      <c r="F61" t="s">
        <v>29</v>
      </c>
      <c r="G61" s="13">
        <v>1467545</v>
      </c>
      <c r="H61" s="4">
        <v>3</v>
      </c>
      <c r="I61" t="s">
        <v>339</v>
      </c>
      <c r="J61" t="s">
        <v>326</v>
      </c>
      <c r="K61" t="s">
        <v>340</v>
      </c>
      <c r="L61" t="s">
        <v>33</v>
      </c>
      <c r="M61" t="s">
        <v>341</v>
      </c>
      <c r="N61" s="8" t="s">
        <v>342</v>
      </c>
      <c r="O61" s="3" t="s">
        <v>343</v>
      </c>
      <c r="Q61" t="s">
        <v>37</v>
      </c>
      <c r="R61" t="s">
        <v>38</v>
      </c>
      <c r="S61">
        <v>2</v>
      </c>
      <c r="T61">
        <v>6</v>
      </c>
      <c r="U61" s="5">
        <v>4</v>
      </c>
    </row>
    <row r="62" spans="1:21">
      <c r="A62" s="4" t="s">
        <v>244</v>
      </c>
      <c r="B62" t="s">
        <v>314</v>
      </c>
      <c r="D62" s="4" t="s">
        <v>337</v>
      </c>
      <c r="E62" t="s">
        <v>344</v>
      </c>
      <c r="F62" t="s">
        <v>85</v>
      </c>
      <c r="G62" s="13" t="s">
        <v>345</v>
      </c>
      <c r="H62" s="4">
        <v>56</v>
      </c>
      <c r="I62" t="s">
        <v>346</v>
      </c>
      <c r="J62" t="s">
        <v>347</v>
      </c>
      <c r="K62" t="s">
        <v>348</v>
      </c>
      <c r="L62" t="s">
        <v>33</v>
      </c>
      <c r="M62" t="s">
        <v>349</v>
      </c>
      <c r="N62" s="8" t="s">
        <v>350</v>
      </c>
      <c r="O62" s="3" t="s">
        <v>351</v>
      </c>
      <c r="Q62" t="s">
        <v>37</v>
      </c>
      <c r="R62" t="s">
        <v>38</v>
      </c>
      <c r="S62">
        <v>2</v>
      </c>
      <c r="T62">
        <v>5</v>
      </c>
      <c r="U62" s="5">
        <v>2</v>
      </c>
    </row>
    <row r="63" spans="1:21">
      <c r="A63" s="4" t="s">
        <v>244</v>
      </c>
      <c r="B63" t="s">
        <v>314</v>
      </c>
      <c r="D63" s="4" t="s">
        <v>40</v>
      </c>
      <c r="E63" s="9" t="s">
        <v>352</v>
      </c>
      <c r="F63" t="s">
        <v>29</v>
      </c>
      <c r="G63" s="13">
        <v>1812486</v>
      </c>
      <c r="H63" s="4">
        <v>18</v>
      </c>
      <c r="I63" t="s">
        <v>353</v>
      </c>
      <c r="J63" t="s">
        <v>326</v>
      </c>
      <c r="K63" t="s">
        <v>354</v>
      </c>
      <c r="L63" t="s">
        <v>33</v>
      </c>
      <c r="M63" t="s">
        <v>355</v>
      </c>
      <c r="N63" s="8" t="s">
        <v>356</v>
      </c>
      <c r="O63" s="3" t="s">
        <v>357</v>
      </c>
      <c r="Q63" t="s">
        <v>37</v>
      </c>
      <c r="R63" t="s">
        <v>38</v>
      </c>
      <c r="S63">
        <v>2</v>
      </c>
      <c r="T63">
        <v>6</v>
      </c>
      <c r="U63" s="5">
        <v>2</v>
      </c>
    </row>
    <row r="64" spans="1:21" s="11" customFormat="1">
      <c r="A64" s="4" t="s">
        <v>244</v>
      </c>
      <c r="B64" t="s">
        <v>314</v>
      </c>
      <c r="C64"/>
      <c r="D64" s="4" t="s">
        <v>40</v>
      </c>
      <c r="E64" s="9" t="s">
        <v>358</v>
      </c>
      <c r="F64" t="s">
        <v>29</v>
      </c>
      <c r="G64" s="13">
        <v>2909608</v>
      </c>
      <c r="H64" s="4">
        <v>35</v>
      </c>
      <c r="I64" t="s">
        <v>359</v>
      </c>
      <c r="J64" t="s">
        <v>326</v>
      </c>
      <c r="K64" t="s">
        <v>360</v>
      </c>
      <c r="L64" t="s">
        <v>33</v>
      </c>
      <c r="M64" t="s">
        <v>361</v>
      </c>
      <c r="N64" s="14" t="s">
        <v>362</v>
      </c>
      <c r="O64" s="15" t="s">
        <v>363</v>
      </c>
      <c r="P64" s="5"/>
      <c r="Q64" t="s">
        <v>37</v>
      </c>
      <c r="R64" t="s">
        <v>38</v>
      </c>
      <c r="S64">
        <v>2</v>
      </c>
      <c r="T64">
        <v>6</v>
      </c>
      <c r="U64" s="5">
        <v>1</v>
      </c>
    </row>
    <row r="65" spans="1:21">
      <c r="A65" s="4" t="s">
        <v>244</v>
      </c>
      <c r="B65" t="s">
        <v>364</v>
      </c>
      <c r="D65" s="4" t="s">
        <v>246</v>
      </c>
      <c r="E65" s="9" t="s">
        <v>365</v>
      </c>
      <c r="F65" t="s">
        <v>85</v>
      </c>
      <c r="G65" s="13" t="s">
        <v>366</v>
      </c>
      <c r="H65" s="4">
        <v>7</v>
      </c>
      <c r="I65" t="s">
        <v>179</v>
      </c>
      <c r="J65" t="s">
        <v>367</v>
      </c>
      <c r="L65" t="s">
        <v>33</v>
      </c>
      <c r="M65" t="s">
        <v>368</v>
      </c>
      <c r="O65" s="3" t="s">
        <v>369</v>
      </c>
      <c r="Q65" t="s">
        <v>37</v>
      </c>
      <c r="R65" t="s">
        <v>38</v>
      </c>
      <c r="S65">
        <v>3</v>
      </c>
      <c r="T65">
        <v>1</v>
      </c>
      <c r="U65" s="5">
        <v>2</v>
      </c>
    </row>
    <row r="66" spans="1:21">
      <c r="A66" s="4" t="s">
        <v>244</v>
      </c>
      <c r="B66" t="s">
        <v>370</v>
      </c>
      <c r="D66" s="4" t="s">
        <v>371</v>
      </c>
      <c r="E66" s="9" t="s">
        <v>372</v>
      </c>
      <c r="F66" t="s">
        <v>85</v>
      </c>
      <c r="G66" s="13" t="s">
        <v>373</v>
      </c>
      <c r="H66" s="4">
        <v>9</v>
      </c>
      <c r="I66" t="s">
        <v>374</v>
      </c>
      <c r="J66" t="s">
        <v>375</v>
      </c>
      <c r="K66" t="s">
        <v>376</v>
      </c>
      <c r="L66" t="s">
        <v>33</v>
      </c>
      <c r="M66" t="s">
        <v>377</v>
      </c>
      <c r="O66" s="3" t="s">
        <v>378</v>
      </c>
      <c r="Q66" t="s">
        <v>37</v>
      </c>
      <c r="R66" t="s">
        <v>38</v>
      </c>
      <c r="S66">
        <v>3</v>
      </c>
      <c r="T66">
        <v>3</v>
      </c>
      <c r="U66" s="5">
        <v>1</v>
      </c>
    </row>
    <row r="67" spans="1:21">
      <c r="A67" s="4" t="s">
        <v>244</v>
      </c>
      <c r="B67" t="s">
        <v>370</v>
      </c>
      <c r="D67" s="4" t="s">
        <v>379</v>
      </c>
      <c r="E67" s="9" t="s">
        <v>380</v>
      </c>
      <c r="F67" t="s">
        <v>85</v>
      </c>
      <c r="G67" s="13" t="s">
        <v>381</v>
      </c>
      <c r="H67" s="4">
        <v>8</v>
      </c>
      <c r="I67" t="s">
        <v>382</v>
      </c>
      <c r="J67" t="s">
        <v>383</v>
      </c>
      <c r="K67" t="s">
        <v>384</v>
      </c>
      <c r="L67" t="s">
        <v>33</v>
      </c>
      <c r="M67" t="s">
        <v>385</v>
      </c>
      <c r="O67" s="3" t="s">
        <v>386</v>
      </c>
      <c r="Q67" t="s">
        <v>37</v>
      </c>
      <c r="R67" t="s">
        <v>38</v>
      </c>
      <c r="S67">
        <v>3</v>
      </c>
      <c r="T67">
        <v>4</v>
      </c>
      <c r="U67" s="5">
        <v>3</v>
      </c>
    </row>
    <row r="68" spans="1:21">
      <c r="A68" s="4" t="s">
        <v>244</v>
      </c>
      <c r="B68" t="s">
        <v>387</v>
      </c>
      <c r="D68" s="4" t="s">
        <v>379</v>
      </c>
      <c r="E68" s="9" t="s">
        <v>388</v>
      </c>
      <c r="F68" t="s">
        <v>29</v>
      </c>
      <c r="G68" s="13">
        <v>1084305</v>
      </c>
      <c r="H68" s="4">
        <v>2</v>
      </c>
      <c r="I68" t="s">
        <v>389</v>
      </c>
      <c r="J68" t="s">
        <v>390</v>
      </c>
      <c r="K68" t="s">
        <v>391</v>
      </c>
      <c r="L68" t="s">
        <v>33</v>
      </c>
      <c r="M68" t="s">
        <v>392</v>
      </c>
      <c r="N68" s="8" t="s">
        <v>393</v>
      </c>
      <c r="O68" s="3" t="s">
        <v>394</v>
      </c>
      <c r="Q68" t="s">
        <v>37</v>
      </c>
      <c r="R68" t="s">
        <v>38</v>
      </c>
      <c r="S68">
        <v>2</v>
      </c>
      <c r="T68" t="s">
        <v>90</v>
      </c>
      <c r="U68" s="5" t="s">
        <v>90</v>
      </c>
    </row>
    <row r="69" spans="1:21">
      <c r="A69" s="4" t="s">
        <v>244</v>
      </c>
      <c r="B69" t="s">
        <v>387</v>
      </c>
      <c r="D69" s="4" t="s">
        <v>262</v>
      </c>
      <c r="E69" s="9" t="s">
        <v>395</v>
      </c>
      <c r="F69" t="s">
        <v>264</v>
      </c>
      <c r="G69" s="13" t="s">
        <v>396</v>
      </c>
      <c r="H69" s="4">
        <v>8</v>
      </c>
      <c r="I69" t="s">
        <v>397</v>
      </c>
      <c r="J69" t="s">
        <v>398</v>
      </c>
      <c r="K69" t="s">
        <v>399</v>
      </c>
      <c r="L69" t="s">
        <v>33</v>
      </c>
      <c r="M69" t="s">
        <v>400</v>
      </c>
      <c r="N69" s="8" t="s">
        <v>401</v>
      </c>
      <c r="Q69" t="s">
        <v>37</v>
      </c>
      <c r="R69" t="s">
        <v>38</v>
      </c>
      <c r="S69">
        <v>2</v>
      </c>
      <c r="T69" t="s">
        <v>90</v>
      </c>
      <c r="U69" s="5" t="s">
        <v>90</v>
      </c>
    </row>
    <row r="70" spans="1:21">
      <c r="A70" s="4" t="s">
        <v>244</v>
      </c>
      <c r="B70" t="s">
        <v>402</v>
      </c>
      <c r="D70" s="4" t="s">
        <v>371</v>
      </c>
      <c r="E70" s="9" t="s">
        <v>403</v>
      </c>
      <c r="F70" t="s">
        <v>29</v>
      </c>
      <c r="G70" s="13">
        <v>1854074</v>
      </c>
      <c r="H70" s="4">
        <v>9</v>
      </c>
      <c r="I70" t="s">
        <v>382</v>
      </c>
      <c r="J70" t="s">
        <v>404</v>
      </c>
      <c r="K70" t="s">
        <v>405</v>
      </c>
      <c r="L70" t="s">
        <v>33</v>
      </c>
      <c r="M70" t="s">
        <v>406</v>
      </c>
      <c r="O70" s="3" t="s">
        <v>407</v>
      </c>
      <c r="Q70" t="s">
        <v>37</v>
      </c>
      <c r="R70" t="s">
        <v>38</v>
      </c>
      <c r="S70">
        <v>3</v>
      </c>
      <c r="T70">
        <v>4</v>
      </c>
      <c r="U70" s="5">
        <v>4</v>
      </c>
    </row>
    <row r="71" spans="1:21">
      <c r="A71" s="4" t="s">
        <v>244</v>
      </c>
      <c r="B71" t="s">
        <v>408</v>
      </c>
      <c r="D71" s="4" t="s">
        <v>409</v>
      </c>
      <c r="E71" s="9" t="s">
        <v>410</v>
      </c>
      <c r="F71" t="s">
        <v>29</v>
      </c>
      <c r="G71" s="13">
        <v>3690353</v>
      </c>
      <c r="H71" s="4">
        <v>51</v>
      </c>
      <c r="I71" t="s">
        <v>411</v>
      </c>
      <c r="J71" t="s">
        <v>412</v>
      </c>
      <c r="K71" t="s">
        <v>413</v>
      </c>
      <c r="L71" t="s">
        <v>33</v>
      </c>
      <c r="M71" t="s">
        <v>414</v>
      </c>
      <c r="O71" s="3" t="s">
        <v>415</v>
      </c>
      <c r="Q71" t="s">
        <v>37</v>
      </c>
      <c r="R71" t="s">
        <v>38</v>
      </c>
      <c r="S71">
        <v>3</v>
      </c>
      <c r="T71">
        <v>5</v>
      </c>
      <c r="U71" s="5">
        <v>3</v>
      </c>
    </row>
    <row r="72" spans="1:21">
      <c r="A72" s="4" t="s">
        <v>244</v>
      </c>
      <c r="B72" t="s">
        <v>408</v>
      </c>
      <c r="D72" s="4" t="s">
        <v>409</v>
      </c>
      <c r="E72" s="9" t="s">
        <v>416</v>
      </c>
      <c r="F72" t="s">
        <v>29</v>
      </c>
      <c r="G72" s="13">
        <v>3439216</v>
      </c>
      <c r="H72" s="4">
        <v>6</v>
      </c>
      <c r="I72" t="s">
        <v>411</v>
      </c>
      <c r="J72" t="s">
        <v>412</v>
      </c>
      <c r="K72" t="s">
        <v>417</v>
      </c>
      <c r="L72" t="s">
        <v>33</v>
      </c>
      <c r="M72" t="s">
        <v>414</v>
      </c>
      <c r="O72" s="3" t="s">
        <v>418</v>
      </c>
      <c r="Q72" t="s">
        <v>37</v>
      </c>
      <c r="R72" t="s">
        <v>38</v>
      </c>
      <c r="S72">
        <v>3</v>
      </c>
      <c r="T72">
        <v>5</v>
      </c>
      <c r="U72" s="5">
        <v>2</v>
      </c>
    </row>
    <row r="73" spans="1:21" s="11" customFormat="1">
      <c r="A73" s="4" t="s">
        <v>244</v>
      </c>
      <c r="B73" t="s">
        <v>408</v>
      </c>
      <c r="C73"/>
      <c r="D73" s="4" t="s">
        <v>409</v>
      </c>
      <c r="E73" s="9" t="s">
        <v>419</v>
      </c>
      <c r="F73" t="s">
        <v>29</v>
      </c>
      <c r="G73" s="13">
        <v>3237586</v>
      </c>
      <c r="H73" s="4">
        <v>17</v>
      </c>
      <c r="I73" t="s">
        <v>411</v>
      </c>
      <c r="J73" t="s">
        <v>420</v>
      </c>
      <c r="K73" t="s">
        <v>229</v>
      </c>
      <c r="L73" t="s">
        <v>33</v>
      </c>
      <c r="M73" t="s">
        <v>421</v>
      </c>
      <c r="N73" s="4"/>
      <c r="O73" s="3" t="s">
        <v>422</v>
      </c>
      <c r="P73" s="5"/>
      <c r="Q73" t="s">
        <v>37</v>
      </c>
      <c r="R73" t="s">
        <v>38</v>
      </c>
      <c r="S73">
        <v>3</v>
      </c>
      <c r="T73">
        <v>5</v>
      </c>
      <c r="U73" s="5">
        <v>1</v>
      </c>
    </row>
    <row r="74" spans="1:21" s="11" customFormat="1">
      <c r="A74" s="4" t="s">
        <v>244</v>
      </c>
      <c r="B74" t="s">
        <v>423</v>
      </c>
      <c r="C74"/>
      <c r="D74" s="4" t="s">
        <v>424</v>
      </c>
      <c r="E74" s="9" t="s">
        <v>425</v>
      </c>
      <c r="F74" t="s">
        <v>264</v>
      </c>
      <c r="G74" s="13" t="s">
        <v>426</v>
      </c>
      <c r="H74" s="4">
        <v>7</v>
      </c>
      <c r="I74" t="s">
        <v>427</v>
      </c>
      <c r="J74" t="s">
        <v>292</v>
      </c>
      <c r="K74" t="s">
        <v>428</v>
      </c>
      <c r="L74" t="s">
        <v>33</v>
      </c>
      <c r="M74" t="s">
        <v>34</v>
      </c>
      <c r="N74" s="8" t="s">
        <v>429</v>
      </c>
      <c r="O74" s="3" t="s">
        <v>430</v>
      </c>
      <c r="P74" s="5"/>
      <c r="Q74" t="s">
        <v>37</v>
      </c>
      <c r="R74" t="s">
        <v>38</v>
      </c>
      <c r="S74">
        <v>2</v>
      </c>
      <c r="T74">
        <v>2</v>
      </c>
      <c r="U74" s="5">
        <v>1</v>
      </c>
    </row>
    <row r="75" spans="1:21" s="11" customFormat="1">
      <c r="A75" s="4" t="s">
        <v>244</v>
      </c>
      <c r="B75" t="s">
        <v>423</v>
      </c>
      <c r="C75"/>
      <c r="D75" s="4" t="s">
        <v>424</v>
      </c>
      <c r="E75" s="9" t="s">
        <v>431</v>
      </c>
      <c r="F75" t="s">
        <v>264</v>
      </c>
      <c r="G75" s="13" t="s">
        <v>432</v>
      </c>
      <c r="H75" s="4">
        <v>10</v>
      </c>
      <c r="I75" t="s">
        <v>433</v>
      </c>
      <c r="J75"/>
      <c r="K75" t="s">
        <v>434</v>
      </c>
      <c r="L75" t="s">
        <v>33</v>
      </c>
      <c r="M75" t="s">
        <v>400</v>
      </c>
      <c r="N75" s="8" t="s">
        <v>435</v>
      </c>
      <c r="O75" s="3" t="s">
        <v>436</v>
      </c>
      <c r="P75" s="5"/>
      <c r="Q75" t="s">
        <v>37</v>
      </c>
      <c r="R75" t="s">
        <v>38</v>
      </c>
      <c r="S75">
        <v>2</v>
      </c>
      <c r="T75" t="s">
        <v>90</v>
      </c>
      <c r="U75" s="5" t="s">
        <v>90</v>
      </c>
    </row>
    <row r="76" spans="1:21">
      <c r="A76" s="4" t="s">
        <v>244</v>
      </c>
      <c r="B76" t="s">
        <v>423</v>
      </c>
      <c r="D76" s="4" t="s">
        <v>315</v>
      </c>
      <c r="E76" s="9" t="s">
        <v>437</v>
      </c>
      <c r="F76" t="s">
        <v>85</v>
      </c>
      <c r="G76" s="13" t="s">
        <v>438</v>
      </c>
      <c r="H76" s="4">
        <v>10</v>
      </c>
      <c r="I76" t="s">
        <v>229</v>
      </c>
      <c r="J76" t="s">
        <v>292</v>
      </c>
      <c r="K76" t="s">
        <v>439</v>
      </c>
      <c r="L76" t="s">
        <v>33</v>
      </c>
      <c r="M76" t="s">
        <v>440</v>
      </c>
      <c r="N76" s="8" t="s">
        <v>441</v>
      </c>
      <c r="O76" s="3" t="s">
        <v>442</v>
      </c>
      <c r="Q76" t="s">
        <v>37</v>
      </c>
      <c r="R76" t="s">
        <v>38</v>
      </c>
      <c r="S76">
        <v>2</v>
      </c>
      <c r="T76">
        <v>2</v>
      </c>
      <c r="U76" s="5">
        <v>2</v>
      </c>
    </row>
    <row r="77" spans="1:21">
      <c r="A77" s="4" t="s">
        <v>244</v>
      </c>
      <c r="B77" t="s">
        <v>423</v>
      </c>
      <c r="D77" s="4" t="s">
        <v>315</v>
      </c>
      <c r="E77" s="9" t="s">
        <v>443</v>
      </c>
      <c r="F77" t="s">
        <v>29</v>
      </c>
      <c r="G77" s="13">
        <v>3483072</v>
      </c>
      <c r="H77" s="4">
        <v>45</v>
      </c>
      <c r="I77" t="s">
        <v>302</v>
      </c>
      <c r="J77" t="s">
        <v>444</v>
      </c>
      <c r="K77" t="s">
        <v>445</v>
      </c>
      <c r="L77" t="s">
        <v>33</v>
      </c>
      <c r="M77" t="s">
        <v>446</v>
      </c>
      <c r="N77" s="8" t="s">
        <v>447</v>
      </c>
      <c r="O77" s="3" t="s">
        <v>448</v>
      </c>
      <c r="Q77" t="s">
        <v>37</v>
      </c>
      <c r="R77" t="s">
        <v>38</v>
      </c>
      <c r="S77">
        <v>2</v>
      </c>
      <c r="T77">
        <v>2</v>
      </c>
      <c r="U77" s="5">
        <v>5</v>
      </c>
    </row>
    <row r="78" spans="1:21">
      <c r="A78" s="4" t="s">
        <v>244</v>
      </c>
      <c r="B78" t="s">
        <v>423</v>
      </c>
      <c r="D78" s="4" t="s">
        <v>315</v>
      </c>
      <c r="E78" s="9" t="s">
        <v>449</v>
      </c>
      <c r="F78" t="s">
        <v>29</v>
      </c>
      <c r="G78" s="13">
        <v>3483073</v>
      </c>
      <c r="H78" s="4">
        <v>137</v>
      </c>
      <c r="I78" t="s">
        <v>302</v>
      </c>
      <c r="J78" t="s">
        <v>444</v>
      </c>
      <c r="K78" t="s">
        <v>445</v>
      </c>
      <c r="L78" t="s">
        <v>33</v>
      </c>
      <c r="M78" t="s">
        <v>446</v>
      </c>
      <c r="N78" s="8" t="s">
        <v>447</v>
      </c>
      <c r="O78" s="3" t="s">
        <v>450</v>
      </c>
      <c r="Q78" t="s">
        <v>37</v>
      </c>
      <c r="R78" t="s">
        <v>38</v>
      </c>
      <c r="S78">
        <v>2</v>
      </c>
      <c r="T78" t="s">
        <v>90</v>
      </c>
      <c r="U78" s="5" t="s">
        <v>90</v>
      </c>
    </row>
    <row r="79" spans="1:21">
      <c r="A79" s="4" t="s">
        <v>244</v>
      </c>
      <c r="B79" t="s">
        <v>423</v>
      </c>
      <c r="D79" s="4" t="s">
        <v>315</v>
      </c>
      <c r="E79" s="9" t="s">
        <v>451</v>
      </c>
      <c r="F79" t="s">
        <v>85</v>
      </c>
      <c r="G79" s="13" t="s">
        <v>452</v>
      </c>
      <c r="H79" s="4">
        <v>45</v>
      </c>
      <c r="I79" t="s">
        <v>302</v>
      </c>
      <c r="J79" t="s">
        <v>444</v>
      </c>
      <c r="K79" t="s">
        <v>453</v>
      </c>
      <c r="L79" t="s">
        <v>33</v>
      </c>
      <c r="M79" t="s">
        <v>446</v>
      </c>
      <c r="N79" s="8" t="s">
        <v>454</v>
      </c>
      <c r="O79" s="3" t="s">
        <v>455</v>
      </c>
      <c r="Q79" t="s">
        <v>37</v>
      </c>
      <c r="R79" t="s">
        <v>38</v>
      </c>
      <c r="S79">
        <v>2</v>
      </c>
      <c r="T79">
        <v>2</v>
      </c>
      <c r="U79" s="5">
        <v>4</v>
      </c>
    </row>
    <row r="80" spans="1:21">
      <c r="A80" s="4" t="s">
        <v>244</v>
      </c>
      <c r="B80" t="s">
        <v>423</v>
      </c>
      <c r="D80" s="4" t="s">
        <v>379</v>
      </c>
      <c r="E80" s="9" t="s">
        <v>456</v>
      </c>
      <c r="F80" t="s">
        <v>29</v>
      </c>
      <c r="G80" s="13">
        <v>2510055</v>
      </c>
      <c r="H80" s="4">
        <v>24</v>
      </c>
      <c r="I80" t="s">
        <v>457</v>
      </c>
      <c r="J80" t="s">
        <v>458</v>
      </c>
      <c r="K80" t="s">
        <v>459</v>
      </c>
      <c r="L80" t="s">
        <v>33</v>
      </c>
      <c r="M80" t="s">
        <v>400</v>
      </c>
      <c r="N80" s="8" t="s">
        <v>460</v>
      </c>
      <c r="O80" s="3" t="s">
        <v>461</v>
      </c>
      <c r="Q80" t="s">
        <v>37</v>
      </c>
      <c r="R80" t="s">
        <v>38</v>
      </c>
      <c r="S80">
        <v>2</v>
      </c>
      <c r="T80">
        <v>2</v>
      </c>
      <c r="U80" s="5">
        <v>3</v>
      </c>
    </row>
    <row r="81" spans="1:21">
      <c r="A81" s="4" t="s">
        <v>244</v>
      </c>
      <c r="B81" t="s">
        <v>423</v>
      </c>
      <c r="D81" s="4" t="s">
        <v>379</v>
      </c>
      <c r="E81" s="9" t="s">
        <v>462</v>
      </c>
      <c r="F81" t="s">
        <v>29</v>
      </c>
      <c r="G81" s="13">
        <v>2510255</v>
      </c>
      <c r="H81" s="4">
        <v>17</v>
      </c>
      <c r="I81" t="s">
        <v>302</v>
      </c>
      <c r="J81" t="s">
        <v>444</v>
      </c>
      <c r="K81" t="s">
        <v>463</v>
      </c>
      <c r="L81" t="s">
        <v>33</v>
      </c>
      <c r="M81" t="s">
        <v>464</v>
      </c>
      <c r="N81" s="8" t="s">
        <v>465</v>
      </c>
      <c r="O81" s="3" t="s">
        <v>466</v>
      </c>
      <c r="Q81" t="s">
        <v>37</v>
      </c>
      <c r="R81" t="s">
        <v>38</v>
      </c>
      <c r="S81">
        <v>2</v>
      </c>
      <c r="T81">
        <v>1</v>
      </c>
      <c r="U81" s="5">
        <v>4</v>
      </c>
    </row>
    <row r="82" spans="1:21">
      <c r="A82" s="4" t="s">
        <v>244</v>
      </c>
      <c r="B82" t="s">
        <v>423</v>
      </c>
      <c r="D82" s="4" t="s">
        <v>379</v>
      </c>
      <c r="E82" s="9" t="s">
        <v>467</v>
      </c>
      <c r="F82" t="s">
        <v>29</v>
      </c>
      <c r="G82" s="13">
        <v>2920683</v>
      </c>
      <c r="H82" s="4">
        <v>8</v>
      </c>
      <c r="I82" t="s">
        <v>302</v>
      </c>
      <c r="J82" t="s">
        <v>444</v>
      </c>
      <c r="K82" t="s">
        <v>468</v>
      </c>
      <c r="L82" t="s">
        <v>33</v>
      </c>
      <c r="M82" t="s">
        <v>349</v>
      </c>
      <c r="N82" s="8" t="s">
        <v>469</v>
      </c>
      <c r="O82" s="3" t="s">
        <v>470</v>
      </c>
      <c r="Q82" t="s">
        <v>37</v>
      </c>
      <c r="R82" t="s">
        <v>38</v>
      </c>
      <c r="S82">
        <v>2</v>
      </c>
      <c r="T82" t="s">
        <v>90</v>
      </c>
      <c r="U82" s="5" t="s">
        <v>90</v>
      </c>
    </row>
    <row r="83" spans="1:21">
      <c r="A83" s="4" t="s">
        <v>471</v>
      </c>
      <c r="B83" t="s">
        <v>472</v>
      </c>
      <c r="D83" s="4" t="s">
        <v>473</v>
      </c>
      <c r="E83" s="9" t="s">
        <v>474</v>
      </c>
      <c r="F83" t="s">
        <v>29</v>
      </c>
      <c r="G83" s="13">
        <v>3796461</v>
      </c>
      <c r="H83" s="4">
        <v>3</v>
      </c>
      <c r="I83" t="s">
        <v>325</v>
      </c>
      <c r="J83" t="s">
        <v>475</v>
      </c>
      <c r="K83" t="s">
        <v>302</v>
      </c>
      <c r="L83" t="s">
        <v>33</v>
      </c>
      <c r="M83" t="s">
        <v>400</v>
      </c>
      <c r="O83" s="3" t="s">
        <v>476</v>
      </c>
      <c r="Q83" t="s">
        <v>37</v>
      </c>
      <c r="R83" t="s">
        <v>38</v>
      </c>
      <c r="S83">
        <v>3</v>
      </c>
      <c r="T83">
        <v>1</v>
      </c>
      <c r="U83" s="5">
        <v>3</v>
      </c>
    </row>
    <row r="84" spans="1:21">
      <c r="A84" s="4" t="s">
        <v>244</v>
      </c>
      <c r="B84" t="s">
        <v>423</v>
      </c>
      <c r="D84" s="4" t="s">
        <v>477</v>
      </c>
      <c r="E84" s="9" t="s">
        <v>478</v>
      </c>
      <c r="F84" t="s">
        <v>29</v>
      </c>
      <c r="G84" s="13">
        <v>2546639</v>
      </c>
      <c r="H84" s="4">
        <v>50</v>
      </c>
      <c r="I84" t="s">
        <v>479</v>
      </c>
      <c r="J84" t="s">
        <v>444</v>
      </c>
      <c r="K84" t="s">
        <v>480</v>
      </c>
      <c r="L84" t="s">
        <v>33</v>
      </c>
      <c r="M84" t="s">
        <v>481</v>
      </c>
      <c r="N84" s="8" t="s">
        <v>482</v>
      </c>
      <c r="O84" s="3" t="s">
        <v>483</v>
      </c>
      <c r="Q84" t="s">
        <v>37</v>
      </c>
      <c r="R84" t="s">
        <v>38</v>
      </c>
      <c r="S84">
        <v>2</v>
      </c>
      <c r="T84">
        <v>1</v>
      </c>
      <c r="U84" s="5">
        <v>2</v>
      </c>
    </row>
    <row r="85" spans="1:21">
      <c r="A85" s="4" t="s">
        <v>244</v>
      </c>
      <c r="B85" t="s">
        <v>423</v>
      </c>
      <c r="D85" s="4" t="s">
        <v>477</v>
      </c>
      <c r="E85" s="9" t="s">
        <v>484</v>
      </c>
      <c r="F85" t="s">
        <v>29</v>
      </c>
      <c r="G85" s="13">
        <v>3011248</v>
      </c>
      <c r="H85" s="4">
        <v>45</v>
      </c>
      <c r="I85" t="s">
        <v>302</v>
      </c>
      <c r="J85" t="s">
        <v>444</v>
      </c>
      <c r="K85" t="s">
        <v>485</v>
      </c>
      <c r="L85" t="s">
        <v>33</v>
      </c>
      <c r="M85" t="s">
        <v>481</v>
      </c>
      <c r="N85" s="8" t="s">
        <v>486</v>
      </c>
      <c r="O85" s="3" t="s">
        <v>487</v>
      </c>
      <c r="Q85" t="s">
        <v>37</v>
      </c>
      <c r="R85" t="s">
        <v>38</v>
      </c>
      <c r="S85">
        <v>2</v>
      </c>
      <c r="T85">
        <v>1</v>
      </c>
      <c r="U85" s="5">
        <v>1</v>
      </c>
    </row>
    <row r="86" spans="1:21">
      <c r="A86" s="4" t="s">
        <v>66</v>
      </c>
      <c r="B86" t="s">
        <v>488</v>
      </c>
      <c r="D86" s="4" t="s">
        <v>489</v>
      </c>
      <c r="E86" s="9" t="s">
        <v>490</v>
      </c>
      <c r="F86" t="s">
        <v>29</v>
      </c>
      <c r="G86" s="13">
        <v>3572937</v>
      </c>
      <c r="H86" s="4">
        <v>9</v>
      </c>
      <c r="I86" t="s">
        <v>491</v>
      </c>
      <c r="J86" t="s">
        <v>492</v>
      </c>
      <c r="K86" t="s">
        <v>493</v>
      </c>
      <c r="L86" t="s">
        <v>33</v>
      </c>
      <c r="M86" t="s">
        <v>494</v>
      </c>
      <c r="O86" s="3" t="s">
        <v>495</v>
      </c>
      <c r="Q86" t="s">
        <v>37</v>
      </c>
      <c r="R86" t="s">
        <v>38</v>
      </c>
      <c r="S86">
        <v>3</v>
      </c>
      <c r="T86">
        <v>2</v>
      </c>
      <c r="U86" s="5">
        <v>4</v>
      </c>
    </row>
    <row r="87" spans="1:21">
      <c r="A87" s="4" t="s">
        <v>66</v>
      </c>
      <c r="B87" t="s">
        <v>488</v>
      </c>
      <c r="D87" s="4" t="s">
        <v>496</v>
      </c>
      <c r="E87" s="9" t="s">
        <v>497</v>
      </c>
      <c r="F87" t="s">
        <v>264</v>
      </c>
      <c r="G87" s="13" t="s">
        <v>498</v>
      </c>
      <c r="H87" s="4">
        <v>7</v>
      </c>
      <c r="I87" t="s">
        <v>499</v>
      </c>
      <c r="J87" t="s">
        <v>492</v>
      </c>
      <c r="K87" t="s">
        <v>500</v>
      </c>
      <c r="L87" t="s">
        <v>33</v>
      </c>
      <c r="M87" t="s">
        <v>501</v>
      </c>
      <c r="O87" s="3" t="s">
        <v>502</v>
      </c>
      <c r="Q87" t="s">
        <v>37</v>
      </c>
      <c r="R87" t="s">
        <v>38</v>
      </c>
      <c r="S87">
        <v>3</v>
      </c>
      <c r="T87">
        <v>2</v>
      </c>
      <c r="U87" s="5">
        <v>3</v>
      </c>
    </row>
    <row r="88" spans="1:21">
      <c r="A88" s="4" t="s">
        <v>66</v>
      </c>
      <c r="B88" t="s">
        <v>488</v>
      </c>
      <c r="D88" s="4" t="s">
        <v>503</v>
      </c>
      <c r="E88" s="9" t="s">
        <v>504</v>
      </c>
      <c r="F88" t="s">
        <v>29</v>
      </c>
      <c r="G88" s="13">
        <v>3228387</v>
      </c>
      <c r="H88" s="4">
        <v>39</v>
      </c>
      <c r="I88" t="s">
        <v>505</v>
      </c>
      <c r="J88" t="s">
        <v>492</v>
      </c>
      <c r="L88" t="s">
        <v>33</v>
      </c>
      <c r="M88" t="s">
        <v>506</v>
      </c>
      <c r="O88" s="3" t="s">
        <v>507</v>
      </c>
      <c r="Q88" t="s">
        <v>37</v>
      </c>
      <c r="R88" t="s">
        <v>38</v>
      </c>
      <c r="S88">
        <v>3</v>
      </c>
      <c r="T88">
        <v>2</v>
      </c>
      <c r="U88" s="5">
        <v>2</v>
      </c>
    </row>
    <row r="89" spans="1:21">
      <c r="A89" s="4" t="s">
        <v>66</v>
      </c>
      <c r="B89" t="s">
        <v>488</v>
      </c>
      <c r="D89" s="4" t="s">
        <v>503</v>
      </c>
      <c r="E89" s="9" t="s">
        <v>508</v>
      </c>
      <c r="F89" t="s">
        <v>29</v>
      </c>
      <c r="G89" s="13">
        <v>3228448</v>
      </c>
      <c r="H89" s="4">
        <v>3</v>
      </c>
      <c r="I89" t="s">
        <v>509</v>
      </c>
      <c r="J89" t="s">
        <v>492</v>
      </c>
      <c r="K89" t="s">
        <v>510</v>
      </c>
      <c r="L89" t="s">
        <v>33</v>
      </c>
      <c r="M89" t="s">
        <v>506</v>
      </c>
      <c r="O89" s="3" t="s">
        <v>511</v>
      </c>
      <c r="Q89" t="s">
        <v>37</v>
      </c>
      <c r="R89" t="s">
        <v>38</v>
      </c>
      <c r="S89">
        <v>3</v>
      </c>
      <c r="T89">
        <v>2</v>
      </c>
      <c r="U89" s="5">
        <v>1</v>
      </c>
    </row>
    <row r="90" spans="1:21">
      <c r="A90" s="4" t="s">
        <v>244</v>
      </c>
      <c r="B90" t="s">
        <v>423</v>
      </c>
      <c r="D90" s="4" t="s">
        <v>337</v>
      </c>
      <c r="E90" s="9" t="s">
        <v>512</v>
      </c>
      <c r="F90" t="s">
        <v>29</v>
      </c>
      <c r="G90" s="13">
        <v>2382524</v>
      </c>
      <c r="H90" s="4">
        <v>10</v>
      </c>
      <c r="I90" t="s">
        <v>229</v>
      </c>
      <c r="J90" t="s">
        <v>444</v>
      </c>
      <c r="K90" t="s">
        <v>513</v>
      </c>
      <c r="L90" t="s">
        <v>33</v>
      </c>
      <c r="M90" t="s">
        <v>514</v>
      </c>
      <c r="N90" s="8" t="s">
        <v>515</v>
      </c>
      <c r="O90" s="3" t="s">
        <v>516</v>
      </c>
      <c r="Q90" t="s">
        <v>37</v>
      </c>
      <c r="R90" t="s">
        <v>38</v>
      </c>
      <c r="S90">
        <v>2</v>
      </c>
      <c r="T90">
        <v>1</v>
      </c>
      <c r="U90" s="5">
        <v>3</v>
      </c>
    </row>
    <row r="91" spans="1:21">
      <c r="A91" s="4" t="s">
        <v>244</v>
      </c>
      <c r="B91" t="s">
        <v>423</v>
      </c>
      <c r="D91" s="4" t="s">
        <v>517</v>
      </c>
      <c r="E91" s="9" t="s">
        <v>518</v>
      </c>
      <c r="F91" t="s">
        <v>85</v>
      </c>
      <c r="G91" s="13" t="s">
        <v>519</v>
      </c>
      <c r="H91" s="4">
        <v>4</v>
      </c>
      <c r="I91" t="s">
        <v>520</v>
      </c>
      <c r="J91" t="s">
        <v>521</v>
      </c>
      <c r="K91" t="s">
        <v>522</v>
      </c>
      <c r="L91" t="s">
        <v>33</v>
      </c>
      <c r="M91" t="s">
        <v>34</v>
      </c>
      <c r="O91" s="3" t="s">
        <v>523</v>
      </c>
      <c r="Q91" t="s">
        <v>37</v>
      </c>
      <c r="R91" t="s">
        <v>38</v>
      </c>
      <c r="S91">
        <v>3</v>
      </c>
      <c r="T91">
        <v>1</v>
      </c>
      <c r="U91" s="5">
        <v>4</v>
      </c>
    </row>
    <row r="92" spans="1:21">
      <c r="A92" s="4" t="s">
        <v>25</v>
      </c>
      <c r="B92" t="s">
        <v>524</v>
      </c>
      <c r="D92" s="4" t="s">
        <v>246</v>
      </c>
      <c r="E92" s="9" t="s">
        <v>525</v>
      </c>
      <c r="F92" t="s">
        <v>29</v>
      </c>
      <c r="G92" s="13">
        <v>1244557</v>
      </c>
      <c r="H92" s="4">
        <v>5</v>
      </c>
      <c r="J92" t="s">
        <v>526</v>
      </c>
      <c r="K92" t="s">
        <v>527</v>
      </c>
      <c r="L92" t="s">
        <v>33</v>
      </c>
      <c r="M92" t="s">
        <v>528</v>
      </c>
      <c r="O92" s="3" t="s">
        <v>529</v>
      </c>
      <c r="Q92" t="s">
        <v>37</v>
      </c>
      <c r="R92" t="s">
        <v>38</v>
      </c>
      <c r="S92">
        <v>3</v>
      </c>
      <c r="T92">
        <v>3</v>
      </c>
      <c r="U92" s="5">
        <v>2</v>
      </c>
    </row>
    <row r="93" spans="1:21">
      <c r="A93" s="4" t="s">
        <v>244</v>
      </c>
      <c r="B93" t="s">
        <v>423</v>
      </c>
      <c r="D93" s="4" t="s">
        <v>517</v>
      </c>
      <c r="E93" s="9" t="s">
        <v>530</v>
      </c>
      <c r="F93" t="s">
        <v>85</v>
      </c>
      <c r="G93" s="13" t="s">
        <v>531</v>
      </c>
      <c r="H93" s="4">
        <v>4</v>
      </c>
      <c r="J93" t="s">
        <v>521</v>
      </c>
      <c r="K93" t="s">
        <v>532</v>
      </c>
      <c r="L93" t="s">
        <v>33</v>
      </c>
      <c r="M93" t="s">
        <v>34</v>
      </c>
      <c r="O93" s="3" t="s">
        <v>533</v>
      </c>
      <c r="Q93" t="s">
        <v>37</v>
      </c>
      <c r="R93" t="s">
        <v>38</v>
      </c>
      <c r="S93">
        <v>3</v>
      </c>
      <c r="T93">
        <v>1</v>
      </c>
      <c r="U93" s="5">
        <v>4</v>
      </c>
    </row>
    <row r="94" spans="1:21">
      <c r="A94" s="4" t="s">
        <v>244</v>
      </c>
      <c r="B94" t="s">
        <v>534</v>
      </c>
      <c r="D94" s="4" t="s">
        <v>379</v>
      </c>
      <c r="E94" s="9" t="s">
        <v>535</v>
      </c>
      <c r="F94" t="s">
        <v>29</v>
      </c>
      <c r="G94" s="13">
        <v>2857750</v>
      </c>
      <c r="H94" s="4">
        <v>9</v>
      </c>
      <c r="I94" t="s">
        <v>536</v>
      </c>
      <c r="J94" t="s">
        <v>537</v>
      </c>
      <c r="L94" t="s">
        <v>33</v>
      </c>
      <c r="M94" t="s">
        <v>538</v>
      </c>
      <c r="O94" s="3" t="s">
        <v>539</v>
      </c>
      <c r="Q94" t="s">
        <v>37</v>
      </c>
      <c r="R94" t="s">
        <v>38</v>
      </c>
      <c r="S94">
        <v>3</v>
      </c>
      <c r="T94">
        <v>5</v>
      </c>
      <c r="U94" s="5">
        <v>4</v>
      </c>
    </row>
    <row r="95" spans="1:21">
      <c r="A95" s="4" t="s">
        <v>244</v>
      </c>
      <c r="B95" t="s">
        <v>540</v>
      </c>
      <c r="D95" s="4" t="s">
        <v>541</v>
      </c>
      <c r="E95" s="9" t="s">
        <v>542</v>
      </c>
      <c r="F95" t="s">
        <v>29</v>
      </c>
      <c r="G95" s="13">
        <v>2842317</v>
      </c>
      <c r="H95" s="4">
        <v>10</v>
      </c>
      <c r="I95" t="s">
        <v>543</v>
      </c>
      <c r="J95" t="s">
        <v>544</v>
      </c>
      <c r="K95" t="s">
        <v>545</v>
      </c>
      <c r="L95" t="s">
        <v>33</v>
      </c>
      <c r="M95" t="s">
        <v>546</v>
      </c>
      <c r="O95" s="3" t="s">
        <v>547</v>
      </c>
      <c r="Q95" t="s">
        <v>37</v>
      </c>
      <c r="R95" t="s">
        <v>38</v>
      </c>
      <c r="S95">
        <v>3</v>
      </c>
      <c r="T95">
        <v>4</v>
      </c>
      <c r="U95" s="5">
        <v>1</v>
      </c>
    </row>
    <row r="96" spans="1:21">
      <c r="A96" s="4" t="s">
        <v>471</v>
      </c>
      <c r="B96" t="s">
        <v>548</v>
      </c>
      <c r="D96" s="4" t="s">
        <v>337</v>
      </c>
      <c r="E96" s="9" t="s">
        <v>549</v>
      </c>
      <c r="F96" t="s">
        <v>29</v>
      </c>
      <c r="G96" s="13">
        <v>2664522</v>
      </c>
      <c r="H96" s="4">
        <v>2</v>
      </c>
      <c r="I96" t="s">
        <v>550</v>
      </c>
      <c r="J96" t="s">
        <v>551</v>
      </c>
      <c r="K96" t="s">
        <v>552</v>
      </c>
      <c r="L96" t="s">
        <v>33</v>
      </c>
      <c r="M96" t="s">
        <v>553</v>
      </c>
      <c r="O96" s="3" t="s">
        <v>554</v>
      </c>
      <c r="Q96" t="s">
        <v>37</v>
      </c>
      <c r="R96" t="s">
        <v>38</v>
      </c>
      <c r="S96">
        <v>3</v>
      </c>
      <c r="T96">
        <v>4</v>
      </c>
      <c r="U96" s="5">
        <v>2</v>
      </c>
    </row>
    <row r="97" spans="1:21">
      <c r="A97" s="4" t="s">
        <v>244</v>
      </c>
      <c r="B97" t="s">
        <v>555</v>
      </c>
      <c r="D97" s="4" t="s">
        <v>40</v>
      </c>
      <c r="E97" s="9" t="s">
        <v>556</v>
      </c>
      <c r="F97" t="s">
        <v>29</v>
      </c>
      <c r="G97" s="13">
        <v>2886991</v>
      </c>
      <c r="H97" s="4">
        <v>37</v>
      </c>
      <c r="I97" t="s">
        <v>557</v>
      </c>
      <c r="J97" t="s">
        <v>558</v>
      </c>
      <c r="K97" t="s">
        <v>559</v>
      </c>
      <c r="L97" t="s">
        <v>33</v>
      </c>
      <c r="M97" t="s">
        <v>560</v>
      </c>
      <c r="N97" s="8" t="s">
        <v>561</v>
      </c>
      <c r="O97" s="3" t="s">
        <v>562</v>
      </c>
      <c r="Q97" t="s">
        <v>37</v>
      </c>
      <c r="R97" t="s">
        <v>38</v>
      </c>
      <c r="S97">
        <v>2</v>
      </c>
      <c r="T97">
        <v>7</v>
      </c>
      <c r="U97" s="5">
        <v>1</v>
      </c>
    </row>
    <row r="98" spans="1:21">
      <c r="A98" s="4" t="s">
        <v>244</v>
      </c>
      <c r="B98" t="s">
        <v>555</v>
      </c>
      <c r="D98" s="4" t="s">
        <v>477</v>
      </c>
      <c r="E98" s="9" t="s">
        <v>563</v>
      </c>
      <c r="F98" t="s">
        <v>29</v>
      </c>
      <c r="G98" s="13">
        <v>2965337</v>
      </c>
      <c r="H98" s="4">
        <v>20</v>
      </c>
      <c r="I98" t="s">
        <v>564</v>
      </c>
      <c r="J98" t="s">
        <v>565</v>
      </c>
      <c r="K98" t="s">
        <v>340</v>
      </c>
      <c r="L98" t="s">
        <v>33</v>
      </c>
      <c r="M98" t="s">
        <v>566</v>
      </c>
      <c r="N98" s="8" t="s">
        <v>567</v>
      </c>
      <c r="O98" s="3" t="s">
        <v>568</v>
      </c>
      <c r="Q98" t="s">
        <v>37</v>
      </c>
      <c r="R98" t="s">
        <v>38</v>
      </c>
      <c r="S98">
        <v>2</v>
      </c>
      <c r="T98">
        <v>7</v>
      </c>
      <c r="U98" s="5">
        <v>2</v>
      </c>
    </row>
    <row r="99" spans="1:21">
      <c r="A99" s="4" t="s">
        <v>244</v>
      </c>
      <c r="B99" t="s">
        <v>555</v>
      </c>
      <c r="D99" s="4" t="s">
        <v>569</v>
      </c>
      <c r="E99" s="9" t="s">
        <v>570</v>
      </c>
      <c r="F99" t="s">
        <v>29</v>
      </c>
      <c r="G99" s="13">
        <v>2254193</v>
      </c>
      <c r="H99" s="4">
        <v>19</v>
      </c>
      <c r="I99" t="s">
        <v>571</v>
      </c>
      <c r="J99" t="s">
        <v>565</v>
      </c>
      <c r="K99" t="s">
        <v>572</v>
      </c>
      <c r="L99" t="s">
        <v>33</v>
      </c>
      <c r="M99" t="s">
        <v>573</v>
      </c>
      <c r="N99" s="8" t="s">
        <v>574</v>
      </c>
      <c r="O99" s="3" t="s">
        <v>575</v>
      </c>
      <c r="Q99" t="s">
        <v>37</v>
      </c>
      <c r="R99" t="s">
        <v>38</v>
      </c>
      <c r="S99">
        <v>2</v>
      </c>
      <c r="T99">
        <v>7</v>
      </c>
      <c r="U99" s="5">
        <v>3</v>
      </c>
    </row>
    <row r="100" spans="1:21">
      <c r="A100" s="4" t="s">
        <v>244</v>
      </c>
      <c r="B100" t="s">
        <v>555</v>
      </c>
      <c r="D100" s="4" t="s">
        <v>576</v>
      </c>
      <c r="E100" s="9" t="s">
        <v>577</v>
      </c>
      <c r="F100" t="s">
        <v>85</v>
      </c>
      <c r="G100" s="13" t="s">
        <v>578</v>
      </c>
      <c r="H100" s="4">
        <v>50</v>
      </c>
      <c r="I100" t="s">
        <v>579</v>
      </c>
      <c r="J100" t="s">
        <v>565</v>
      </c>
      <c r="K100" t="s">
        <v>580</v>
      </c>
      <c r="L100" t="s">
        <v>180</v>
      </c>
      <c r="M100" t="s">
        <v>581</v>
      </c>
      <c r="N100" s="8" t="s">
        <v>582</v>
      </c>
      <c r="O100" s="3" t="s">
        <v>583</v>
      </c>
      <c r="Q100" t="s">
        <v>37</v>
      </c>
      <c r="R100" t="s">
        <v>38</v>
      </c>
      <c r="S100">
        <v>2</v>
      </c>
      <c r="T100">
        <v>8</v>
      </c>
      <c r="U100" s="5">
        <v>1</v>
      </c>
    </row>
    <row r="101" spans="1:21">
      <c r="A101" s="4" t="s">
        <v>244</v>
      </c>
      <c r="B101" t="s">
        <v>555</v>
      </c>
      <c r="D101" s="4" t="s">
        <v>40</v>
      </c>
      <c r="E101" s="9" t="s">
        <v>584</v>
      </c>
      <c r="F101" t="s">
        <v>264</v>
      </c>
      <c r="G101" s="13" t="s">
        <v>585</v>
      </c>
      <c r="H101" s="4">
        <v>20</v>
      </c>
      <c r="I101" t="s">
        <v>586</v>
      </c>
      <c r="J101" t="s">
        <v>565</v>
      </c>
      <c r="K101" t="s">
        <v>572</v>
      </c>
      <c r="L101" t="s">
        <v>33</v>
      </c>
      <c r="M101" t="s">
        <v>573</v>
      </c>
      <c r="N101" s="8" t="s">
        <v>587</v>
      </c>
      <c r="O101" s="3" t="s">
        <v>588</v>
      </c>
      <c r="Q101" t="s">
        <v>37</v>
      </c>
      <c r="R101" t="s">
        <v>38</v>
      </c>
      <c r="S101">
        <v>2</v>
      </c>
      <c r="T101">
        <v>8</v>
      </c>
      <c r="U101" s="5">
        <v>3</v>
      </c>
    </row>
    <row r="102" spans="1:21">
      <c r="A102" s="4" t="s">
        <v>244</v>
      </c>
      <c r="B102" t="s">
        <v>555</v>
      </c>
      <c r="D102" s="4" t="s">
        <v>40</v>
      </c>
      <c r="E102" s="9" t="s">
        <v>589</v>
      </c>
      <c r="F102" t="s">
        <v>85</v>
      </c>
      <c r="G102" s="13" t="s">
        <v>590</v>
      </c>
      <c r="H102" s="4">
        <v>22</v>
      </c>
      <c r="I102" t="s">
        <v>591</v>
      </c>
      <c r="J102" t="s">
        <v>565</v>
      </c>
      <c r="K102" t="s">
        <v>340</v>
      </c>
      <c r="L102" t="s">
        <v>33</v>
      </c>
      <c r="M102" t="s">
        <v>349</v>
      </c>
      <c r="N102" s="8" t="s">
        <v>592</v>
      </c>
      <c r="O102" s="3" t="s">
        <v>593</v>
      </c>
      <c r="Q102" t="s">
        <v>37</v>
      </c>
      <c r="R102" t="s">
        <v>38</v>
      </c>
      <c r="S102">
        <v>2</v>
      </c>
      <c r="T102">
        <v>8</v>
      </c>
      <c r="U102" s="5">
        <v>4</v>
      </c>
    </row>
    <row r="103" spans="1:21">
      <c r="E103" s="9" t="s">
        <v>594</v>
      </c>
      <c r="H103" s="4">
        <v>1</v>
      </c>
      <c r="J103" s="10"/>
      <c r="Q103" t="s">
        <v>37</v>
      </c>
      <c r="R103" t="s">
        <v>38</v>
      </c>
      <c r="S103">
        <v>3</v>
      </c>
      <c r="T103">
        <v>6</v>
      </c>
      <c r="U103" s="5">
        <v>5</v>
      </c>
    </row>
    <row r="104" spans="1:21">
      <c r="E104" s="9" t="s">
        <v>595</v>
      </c>
      <c r="H104" s="4">
        <v>3</v>
      </c>
      <c r="Q104" t="s">
        <v>37</v>
      </c>
      <c r="R104" t="s">
        <v>38</v>
      </c>
      <c r="S104">
        <v>3</v>
      </c>
      <c r="T104">
        <v>6</v>
      </c>
      <c r="U104" s="5">
        <v>3</v>
      </c>
    </row>
    <row r="105" spans="1:21">
      <c r="E105" s="9" t="s">
        <v>596</v>
      </c>
      <c r="H105" s="4">
        <v>6</v>
      </c>
      <c r="Q105" t="s">
        <v>37</v>
      </c>
      <c r="R105" t="s">
        <v>38</v>
      </c>
      <c r="S105">
        <v>3</v>
      </c>
      <c r="T105">
        <v>6</v>
      </c>
      <c r="U105" s="5">
        <v>2</v>
      </c>
    </row>
    <row r="106" spans="1:21">
      <c r="E106" s="9" t="s">
        <v>597</v>
      </c>
      <c r="H106" s="4">
        <v>4</v>
      </c>
      <c r="Q106" t="s">
        <v>37</v>
      </c>
      <c r="R106" t="s">
        <v>38</v>
      </c>
      <c r="S106">
        <v>3</v>
      </c>
      <c r="T106">
        <v>6</v>
      </c>
      <c r="U106" s="5">
        <v>1</v>
      </c>
    </row>
    <row r="107" spans="1:21">
      <c r="E107" s="9" t="s">
        <v>598</v>
      </c>
      <c r="H107" s="4">
        <v>1</v>
      </c>
      <c r="Q107" t="s">
        <v>37</v>
      </c>
      <c r="R107" t="s">
        <v>38</v>
      </c>
      <c r="S107">
        <v>3</v>
      </c>
      <c r="T107">
        <v>7</v>
      </c>
      <c r="U107" s="5">
        <v>6</v>
      </c>
    </row>
    <row r="108" spans="1:21">
      <c r="E108" s="9" t="s">
        <v>599</v>
      </c>
      <c r="H108" s="4">
        <v>2</v>
      </c>
      <c r="Q108" t="s">
        <v>37</v>
      </c>
      <c r="R108" t="s">
        <v>38</v>
      </c>
      <c r="S108">
        <v>3</v>
      </c>
      <c r="T108">
        <v>7</v>
      </c>
      <c r="U108" s="5">
        <v>5</v>
      </c>
    </row>
    <row r="109" spans="1:21">
      <c r="E109" s="9" t="s">
        <v>600</v>
      </c>
      <c r="H109" s="4">
        <v>5</v>
      </c>
      <c r="J109" s="10"/>
      <c r="Q109" t="s">
        <v>37</v>
      </c>
      <c r="R109" t="s">
        <v>38</v>
      </c>
      <c r="S109">
        <v>3</v>
      </c>
      <c r="T109">
        <v>7</v>
      </c>
      <c r="U109" s="5">
        <v>4</v>
      </c>
    </row>
    <row r="110" spans="1:21">
      <c r="E110" s="9" t="s">
        <v>601</v>
      </c>
      <c r="H110" s="4">
        <v>5</v>
      </c>
      <c r="J110" s="10"/>
      <c r="Q110" t="s">
        <v>37</v>
      </c>
      <c r="R110" t="s">
        <v>38</v>
      </c>
      <c r="S110">
        <v>3</v>
      </c>
      <c r="T110">
        <v>7</v>
      </c>
      <c r="U110" s="5">
        <v>3</v>
      </c>
    </row>
    <row r="111" spans="1:21">
      <c r="E111" s="9" t="s">
        <v>602</v>
      </c>
      <c r="H111" s="4">
        <v>9</v>
      </c>
      <c r="Q111" t="s">
        <v>37</v>
      </c>
      <c r="R111" t="s">
        <v>38</v>
      </c>
      <c r="S111">
        <v>3</v>
      </c>
      <c r="T111">
        <v>7</v>
      </c>
      <c r="U111" s="5">
        <v>2</v>
      </c>
    </row>
    <row r="112" spans="1:21">
      <c r="E112" s="9" t="s">
        <v>603</v>
      </c>
      <c r="H112" s="4">
        <v>3</v>
      </c>
      <c r="Q112" t="s">
        <v>37</v>
      </c>
      <c r="R112" t="s">
        <v>38</v>
      </c>
      <c r="S112">
        <v>3</v>
      </c>
      <c r="T112">
        <v>7</v>
      </c>
      <c r="U112" s="5">
        <v>1</v>
      </c>
    </row>
    <row r="113" spans="1:21">
      <c r="E113" s="9" t="s">
        <v>604</v>
      </c>
      <c r="H113" s="4">
        <v>12</v>
      </c>
      <c r="J113" s="10"/>
      <c r="Q113" t="s">
        <v>605</v>
      </c>
      <c r="R113" t="s">
        <v>38</v>
      </c>
      <c r="S113">
        <v>3</v>
      </c>
      <c r="T113">
        <v>6</v>
      </c>
      <c r="U113" s="5">
        <v>4</v>
      </c>
    </row>
    <row r="114" spans="1:21">
      <c r="A114" s="4" t="s">
        <v>66</v>
      </c>
      <c r="B114" t="s">
        <v>139</v>
      </c>
      <c r="D114" s="4" t="s">
        <v>606</v>
      </c>
      <c r="E114" s="9" t="s">
        <v>607</v>
      </c>
      <c r="F114" t="s">
        <v>85</v>
      </c>
      <c r="G114" s="13" t="s">
        <v>608</v>
      </c>
      <c r="H114" s="4">
        <v>1</v>
      </c>
      <c r="I114" t="s">
        <v>200</v>
      </c>
      <c r="J114" t="s">
        <v>209</v>
      </c>
      <c r="K114" t="s">
        <v>609</v>
      </c>
      <c r="L114" t="s">
        <v>33</v>
      </c>
      <c r="M114" s="10" t="s">
        <v>610</v>
      </c>
      <c r="N114" s="8" t="s">
        <v>611</v>
      </c>
      <c r="O114" s="3" t="s">
        <v>612</v>
      </c>
      <c r="Q114" t="s">
        <v>204</v>
      </c>
    </row>
    <row r="115" spans="1:21">
      <c r="A115" s="4" t="s">
        <v>66</v>
      </c>
      <c r="B115" t="s">
        <v>139</v>
      </c>
      <c r="D115" s="4" t="s">
        <v>47</v>
      </c>
      <c r="E115" s="9" t="s">
        <v>613</v>
      </c>
      <c r="H115" s="4">
        <v>1</v>
      </c>
      <c r="I115" t="s">
        <v>200</v>
      </c>
      <c r="J115" t="s">
        <v>209</v>
      </c>
      <c r="K115" t="s">
        <v>614</v>
      </c>
      <c r="L115" t="s">
        <v>33</v>
      </c>
      <c r="M115" t="s">
        <v>615</v>
      </c>
      <c r="N115" s="8" t="s">
        <v>616</v>
      </c>
      <c r="Q115" t="s">
        <v>204</v>
      </c>
    </row>
    <row r="116" spans="1:21">
      <c r="A116" s="4" t="s">
        <v>66</v>
      </c>
      <c r="B116" t="s">
        <v>139</v>
      </c>
      <c r="D116" s="4" t="s">
        <v>47</v>
      </c>
      <c r="E116" s="9" t="s">
        <v>617</v>
      </c>
      <c r="H116" s="4">
        <v>1</v>
      </c>
      <c r="I116" t="s">
        <v>200</v>
      </c>
      <c r="J116" t="s">
        <v>209</v>
      </c>
      <c r="K116" t="s">
        <v>618</v>
      </c>
      <c r="L116" t="s">
        <v>33</v>
      </c>
      <c r="M116" s="10" t="s">
        <v>51</v>
      </c>
      <c r="N116" s="8" t="s">
        <v>619</v>
      </c>
      <c r="Q116" t="s">
        <v>204</v>
      </c>
    </row>
    <row r="117" spans="1:21">
      <c r="A117" s="4" t="s">
        <v>66</v>
      </c>
      <c r="B117" t="s">
        <v>139</v>
      </c>
      <c r="D117" s="4" t="s">
        <v>40</v>
      </c>
      <c r="E117" s="9" t="s">
        <v>620</v>
      </c>
      <c r="H117" s="4">
        <v>1</v>
      </c>
      <c r="I117" t="s">
        <v>200</v>
      </c>
      <c r="J117" t="s">
        <v>209</v>
      </c>
      <c r="K117" t="s">
        <v>621</v>
      </c>
      <c r="L117" t="s">
        <v>33</v>
      </c>
      <c r="M117" s="10" t="s">
        <v>610</v>
      </c>
      <c r="N117" s="8" t="s">
        <v>211</v>
      </c>
      <c r="Q117" t="s">
        <v>204</v>
      </c>
    </row>
    <row r="118" spans="1:21">
      <c r="A118" s="4" t="s">
        <v>66</v>
      </c>
      <c r="B118" t="s">
        <v>139</v>
      </c>
      <c r="D118" s="4" t="s">
        <v>47</v>
      </c>
      <c r="E118" s="9" t="s">
        <v>622</v>
      </c>
      <c r="H118" s="4">
        <v>1</v>
      </c>
      <c r="I118" t="s">
        <v>200</v>
      </c>
      <c r="J118" t="s">
        <v>209</v>
      </c>
      <c r="K118" t="s">
        <v>623</v>
      </c>
      <c r="L118" t="s">
        <v>33</v>
      </c>
      <c r="M118" s="10" t="s">
        <v>610</v>
      </c>
      <c r="N118" s="8" t="s">
        <v>624</v>
      </c>
      <c r="Q118" t="s">
        <v>204</v>
      </c>
    </row>
    <row r="119" spans="1:21">
      <c r="A119" s="4" t="s">
        <v>66</v>
      </c>
      <c r="B119" t="s">
        <v>139</v>
      </c>
      <c r="D119" s="4" t="s">
        <v>47</v>
      </c>
      <c r="E119" s="9" t="s">
        <v>625</v>
      </c>
      <c r="H119" s="4">
        <v>1000</v>
      </c>
      <c r="I119" t="s">
        <v>626</v>
      </c>
      <c r="J119" t="s">
        <v>627</v>
      </c>
      <c r="K119" t="s">
        <v>156</v>
      </c>
      <c r="L119" t="s">
        <v>33</v>
      </c>
      <c r="M119" s="10" t="s">
        <v>628</v>
      </c>
      <c r="N119" s="8" t="s">
        <v>629</v>
      </c>
      <c r="Q119" t="s">
        <v>37</v>
      </c>
    </row>
    <row r="120" spans="1:21">
      <c r="A120" s="4" t="s">
        <v>66</v>
      </c>
      <c r="B120" t="s">
        <v>139</v>
      </c>
      <c r="D120" s="4" t="s">
        <v>47</v>
      </c>
      <c r="E120" s="9" t="s">
        <v>630</v>
      </c>
      <c r="H120" s="4">
        <v>100</v>
      </c>
      <c r="I120" t="s">
        <v>631</v>
      </c>
      <c r="J120" t="s">
        <v>627</v>
      </c>
      <c r="K120" t="s">
        <v>156</v>
      </c>
      <c r="L120" t="s">
        <v>33</v>
      </c>
      <c r="M120" s="10" t="s">
        <v>628</v>
      </c>
      <c r="N120" s="8" t="s">
        <v>632</v>
      </c>
      <c r="Q120" t="s">
        <v>37</v>
      </c>
    </row>
    <row r="121" spans="1:21">
      <c r="A121" s="4" t="s">
        <v>66</v>
      </c>
      <c r="B121" t="s">
        <v>99</v>
      </c>
      <c r="D121" s="4" t="s">
        <v>47</v>
      </c>
      <c r="E121" s="9" t="s">
        <v>633</v>
      </c>
      <c r="H121" s="4">
        <v>100</v>
      </c>
      <c r="I121" t="s">
        <v>634</v>
      </c>
      <c r="J121" t="s">
        <v>635</v>
      </c>
      <c r="K121" t="s">
        <v>636</v>
      </c>
      <c r="L121" t="s">
        <v>33</v>
      </c>
      <c r="M121" s="10" t="s">
        <v>637</v>
      </c>
      <c r="N121" s="8" t="s">
        <v>638</v>
      </c>
      <c r="Q121" t="s">
        <v>37</v>
      </c>
    </row>
    <row r="122" spans="1:21">
      <c r="A122" s="4" t="s">
        <v>66</v>
      </c>
      <c r="B122" t="s">
        <v>99</v>
      </c>
      <c r="D122" s="4" t="s">
        <v>47</v>
      </c>
      <c r="E122" s="9" t="s">
        <v>639</v>
      </c>
      <c r="H122" s="4">
        <v>100</v>
      </c>
      <c r="I122" t="s">
        <v>197</v>
      </c>
      <c r="J122" t="s">
        <v>635</v>
      </c>
      <c r="K122" t="s">
        <v>640</v>
      </c>
      <c r="L122" t="s">
        <v>33</v>
      </c>
      <c r="M122" s="10" t="s">
        <v>641</v>
      </c>
      <c r="N122" s="8" t="s">
        <v>642</v>
      </c>
      <c r="Q122" t="s">
        <v>37</v>
      </c>
    </row>
    <row r="123" spans="1:21">
      <c r="A123" s="4" t="s">
        <v>66</v>
      </c>
      <c r="B123" t="s">
        <v>67</v>
      </c>
      <c r="D123" s="4" t="s">
        <v>221</v>
      </c>
      <c r="E123" s="9" t="s">
        <v>643</v>
      </c>
      <c r="F123" t="s">
        <v>29</v>
      </c>
      <c r="G123" s="13">
        <v>2446411</v>
      </c>
      <c r="H123" s="4">
        <v>10000</v>
      </c>
      <c r="I123" t="s">
        <v>644</v>
      </c>
      <c r="J123" t="s">
        <v>645</v>
      </c>
      <c r="K123" t="s">
        <v>646</v>
      </c>
      <c r="L123" t="s">
        <v>33</v>
      </c>
      <c r="M123" s="10" t="s">
        <v>628</v>
      </c>
      <c r="N123" s="8" t="s">
        <v>647</v>
      </c>
      <c r="O123" s="3" t="s">
        <v>648</v>
      </c>
      <c r="Q123" t="s">
        <v>37</v>
      </c>
    </row>
    <row r="124" spans="1:21">
      <c r="A124" s="4" t="s">
        <v>66</v>
      </c>
      <c r="B124" t="s">
        <v>67</v>
      </c>
      <c r="D124" s="4" t="s">
        <v>221</v>
      </c>
      <c r="E124" s="9" t="s">
        <v>649</v>
      </c>
      <c r="F124" t="s">
        <v>29</v>
      </c>
      <c r="G124" s="13">
        <v>2446415</v>
      </c>
      <c r="H124" s="4">
        <v>10000</v>
      </c>
      <c r="I124" t="s">
        <v>650</v>
      </c>
      <c r="J124" t="s">
        <v>645</v>
      </c>
      <c r="K124" t="s">
        <v>646</v>
      </c>
      <c r="L124" t="s">
        <v>33</v>
      </c>
      <c r="M124" s="10" t="s">
        <v>628</v>
      </c>
      <c r="N124" s="8" t="s">
        <v>647</v>
      </c>
      <c r="O124" s="3" t="s">
        <v>651</v>
      </c>
      <c r="Q124" t="s">
        <v>37</v>
      </c>
    </row>
    <row r="125" spans="1:21">
      <c r="A125" s="4" t="s">
        <v>66</v>
      </c>
      <c r="B125" t="s">
        <v>67</v>
      </c>
      <c r="D125" s="4" t="s">
        <v>221</v>
      </c>
      <c r="E125" s="9" t="s">
        <v>652</v>
      </c>
      <c r="F125" t="s">
        <v>29</v>
      </c>
      <c r="G125" s="13">
        <v>2446437</v>
      </c>
      <c r="H125" s="4">
        <v>10000</v>
      </c>
      <c r="I125" t="s">
        <v>653</v>
      </c>
      <c r="J125" t="s">
        <v>645</v>
      </c>
      <c r="K125" t="s">
        <v>646</v>
      </c>
      <c r="L125" t="s">
        <v>33</v>
      </c>
      <c r="M125" s="10" t="s">
        <v>628</v>
      </c>
      <c r="N125" s="8" t="s">
        <v>647</v>
      </c>
      <c r="O125" s="3" t="s">
        <v>654</v>
      </c>
      <c r="Q125" t="s">
        <v>37</v>
      </c>
    </row>
    <row r="126" spans="1:21">
      <c r="A126" s="4" t="s">
        <v>66</v>
      </c>
      <c r="B126" t="s">
        <v>67</v>
      </c>
      <c r="D126" s="4" t="s">
        <v>221</v>
      </c>
      <c r="E126" s="9" t="s">
        <v>655</v>
      </c>
      <c r="F126" t="s">
        <v>29</v>
      </c>
      <c r="G126" s="13">
        <v>2447114</v>
      </c>
      <c r="H126" s="4">
        <v>500</v>
      </c>
      <c r="I126" t="s">
        <v>656</v>
      </c>
      <c r="J126" t="s">
        <v>645</v>
      </c>
      <c r="K126" t="s">
        <v>646</v>
      </c>
      <c r="L126" t="s">
        <v>33</v>
      </c>
      <c r="M126" s="10" t="s">
        <v>628</v>
      </c>
      <c r="N126" s="8" t="s">
        <v>647</v>
      </c>
      <c r="O126" s="3" t="s">
        <v>657</v>
      </c>
      <c r="Q126" t="s">
        <v>37</v>
      </c>
    </row>
    <row r="127" spans="1:21">
      <c r="A127" s="4" t="s">
        <v>66</v>
      </c>
      <c r="B127" t="s">
        <v>67</v>
      </c>
      <c r="D127" s="4" t="s">
        <v>221</v>
      </c>
      <c r="E127" s="9" t="s">
        <v>658</v>
      </c>
      <c r="F127" t="s">
        <v>29</v>
      </c>
      <c r="G127" s="13">
        <v>2073013</v>
      </c>
      <c r="H127" s="4">
        <v>500</v>
      </c>
      <c r="I127" t="s">
        <v>659</v>
      </c>
      <c r="J127" t="s">
        <v>645</v>
      </c>
      <c r="K127" t="s">
        <v>646</v>
      </c>
      <c r="L127" t="s">
        <v>33</v>
      </c>
      <c r="M127" s="10" t="s">
        <v>628</v>
      </c>
      <c r="N127" s="8" t="s">
        <v>660</v>
      </c>
      <c r="O127" s="3" t="s">
        <v>661</v>
      </c>
      <c r="Q127" t="s">
        <v>37</v>
      </c>
    </row>
    <row r="128" spans="1:21">
      <c r="A128" s="4" t="s">
        <v>66</v>
      </c>
      <c r="B128" t="s">
        <v>67</v>
      </c>
      <c r="D128" s="4" t="s">
        <v>221</v>
      </c>
      <c r="E128" s="9" t="s">
        <v>662</v>
      </c>
      <c r="F128" t="s">
        <v>29</v>
      </c>
      <c r="G128" s="13">
        <v>1803125</v>
      </c>
      <c r="H128" s="4">
        <v>500</v>
      </c>
      <c r="I128" t="s">
        <v>663</v>
      </c>
      <c r="J128" t="s">
        <v>645</v>
      </c>
      <c r="K128" t="s">
        <v>646</v>
      </c>
      <c r="L128" t="s">
        <v>33</v>
      </c>
      <c r="M128" s="10" t="s">
        <v>628</v>
      </c>
      <c r="N128" s="8" t="s">
        <v>664</v>
      </c>
      <c r="O128" s="3" t="s">
        <v>665</v>
      </c>
      <c r="Q128" t="s">
        <v>37</v>
      </c>
    </row>
    <row r="129" spans="1:17">
      <c r="A129" s="4" t="s">
        <v>66</v>
      </c>
      <c r="B129" t="s">
        <v>67</v>
      </c>
      <c r="D129" s="4" t="s">
        <v>221</v>
      </c>
      <c r="E129" s="9" t="s">
        <v>666</v>
      </c>
      <c r="F129" t="s">
        <v>29</v>
      </c>
      <c r="G129" s="13">
        <v>2072748</v>
      </c>
      <c r="H129" s="4">
        <v>500</v>
      </c>
      <c r="I129" t="s">
        <v>667</v>
      </c>
      <c r="J129" t="s">
        <v>645</v>
      </c>
      <c r="K129" t="s">
        <v>668</v>
      </c>
      <c r="L129" t="s">
        <v>33</v>
      </c>
      <c r="M129" s="10" t="s">
        <v>628</v>
      </c>
      <c r="N129" s="8" t="s">
        <v>660</v>
      </c>
      <c r="O129" s="3" t="s">
        <v>669</v>
      </c>
      <c r="Q129" t="s">
        <v>37</v>
      </c>
    </row>
    <row r="130" spans="1:17">
      <c r="A130" s="4" t="s">
        <v>66</v>
      </c>
      <c r="B130" t="s">
        <v>139</v>
      </c>
      <c r="D130" s="4" t="s">
        <v>47</v>
      </c>
      <c r="E130" s="9" t="s">
        <v>670</v>
      </c>
      <c r="H130" s="4">
        <v>1000</v>
      </c>
      <c r="I130" t="s">
        <v>151</v>
      </c>
      <c r="J130" t="s">
        <v>671</v>
      </c>
      <c r="K130" t="s">
        <v>143</v>
      </c>
      <c r="L130" t="s">
        <v>33</v>
      </c>
      <c r="M130" s="10" t="s">
        <v>51</v>
      </c>
      <c r="N130" s="8" t="s">
        <v>672</v>
      </c>
      <c r="Q130" t="s">
        <v>37</v>
      </c>
    </row>
    <row r="131" spans="1:17">
      <c r="A131" s="4" t="s">
        <v>673</v>
      </c>
      <c r="B131" t="s">
        <v>674</v>
      </c>
      <c r="D131" s="4" t="s">
        <v>47</v>
      </c>
      <c r="E131" s="9" t="s">
        <v>675</v>
      </c>
      <c r="H131" s="4">
        <v>1</v>
      </c>
      <c r="I131" t="s">
        <v>200</v>
      </c>
      <c r="J131" t="s">
        <v>676</v>
      </c>
      <c r="L131" t="s">
        <v>33</v>
      </c>
      <c r="M131" t="s">
        <v>202</v>
      </c>
      <c r="N131" s="8" t="s">
        <v>677</v>
      </c>
      <c r="Q131" t="s">
        <v>204</v>
      </c>
    </row>
    <row r="132" spans="1:17">
      <c r="A132" s="4" t="s">
        <v>673</v>
      </c>
      <c r="B132" t="s">
        <v>678</v>
      </c>
      <c r="D132" s="4" t="s">
        <v>47</v>
      </c>
      <c r="E132" s="9" t="s">
        <v>679</v>
      </c>
      <c r="H132" s="4">
        <v>1</v>
      </c>
      <c r="I132" t="s">
        <v>200</v>
      </c>
      <c r="J132" t="s">
        <v>680</v>
      </c>
      <c r="L132" t="s">
        <v>681</v>
      </c>
      <c r="M132" t="s">
        <v>682</v>
      </c>
      <c r="N132" s="8" t="s">
        <v>683</v>
      </c>
      <c r="Q132" t="s">
        <v>204</v>
      </c>
    </row>
    <row r="133" spans="1:17">
      <c r="A133" s="4" t="s">
        <v>25</v>
      </c>
      <c r="B133" t="s">
        <v>26</v>
      </c>
      <c r="D133" s="4" t="s">
        <v>47</v>
      </c>
      <c r="E133" s="9" t="s">
        <v>684</v>
      </c>
      <c r="H133" s="4">
        <v>1</v>
      </c>
      <c r="I133" t="s">
        <v>200</v>
      </c>
      <c r="J133" t="s">
        <v>685</v>
      </c>
      <c r="L133" t="s">
        <v>681</v>
      </c>
      <c r="M133" t="s">
        <v>202</v>
      </c>
      <c r="N133" s="8" t="s">
        <v>686</v>
      </c>
      <c r="Q133" t="s">
        <v>204</v>
      </c>
    </row>
    <row r="134" spans="1:17">
      <c r="A134" s="4" t="s">
        <v>25</v>
      </c>
      <c r="B134" t="s">
        <v>26</v>
      </c>
      <c r="D134" s="4" t="s">
        <v>47</v>
      </c>
      <c r="E134" s="9" t="s">
        <v>687</v>
      </c>
      <c r="H134" s="4">
        <v>1</v>
      </c>
      <c r="I134" t="s">
        <v>200</v>
      </c>
      <c r="J134" t="s">
        <v>688</v>
      </c>
      <c r="K134" t="s">
        <v>689</v>
      </c>
      <c r="L134" t="s">
        <v>33</v>
      </c>
      <c r="M134" t="s">
        <v>202</v>
      </c>
      <c r="N134" s="8" t="s">
        <v>690</v>
      </c>
      <c r="Q134" t="s">
        <v>204</v>
      </c>
    </row>
    <row r="135" spans="1:17">
      <c r="A135" s="4" t="s">
        <v>66</v>
      </c>
      <c r="B135" t="s">
        <v>67</v>
      </c>
      <c r="D135" s="4" t="s">
        <v>691</v>
      </c>
      <c r="E135" t="s">
        <v>692</v>
      </c>
      <c r="F135" t="s">
        <v>85</v>
      </c>
      <c r="G135" s="13" t="s">
        <v>693</v>
      </c>
      <c r="H135" s="4">
        <v>5000</v>
      </c>
      <c r="I135" t="s">
        <v>644</v>
      </c>
      <c r="J135" t="s">
        <v>694</v>
      </c>
      <c r="K135" t="s">
        <v>695</v>
      </c>
      <c r="L135" t="s">
        <v>33</v>
      </c>
      <c r="M135" s="10" t="s">
        <v>610</v>
      </c>
      <c r="N135" s="8" t="s">
        <v>696</v>
      </c>
      <c r="O135" s="3" t="s">
        <v>697</v>
      </c>
      <c r="Q135" t="s">
        <v>204</v>
      </c>
    </row>
    <row r="136" spans="1:17">
      <c r="A136" s="4" t="s">
        <v>66</v>
      </c>
      <c r="B136" t="s">
        <v>99</v>
      </c>
      <c r="D136" s="4" t="s">
        <v>47</v>
      </c>
      <c r="E136" s="9" t="s">
        <v>698</v>
      </c>
      <c r="H136" s="4">
        <v>1</v>
      </c>
      <c r="I136" t="s">
        <v>200</v>
      </c>
      <c r="J136" t="s">
        <v>699</v>
      </c>
      <c r="K136" t="s">
        <v>700</v>
      </c>
      <c r="L136" t="s">
        <v>33</v>
      </c>
      <c r="M136" t="s">
        <v>701</v>
      </c>
      <c r="N136" s="8" t="s">
        <v>702</v>
      </c>
      <c r="Q136" t="s">
        <v>204</v>
      </c>
    </row>
    <row r="137" spans="1:17">
      <c r="A137" s="4" t="s">
        <v>66</v>
      </c>
      <c r="B137" t="s">
        <v>488</v>
      </c>
      <c r="D137" s="4" t="s">
        <v>47</v>
      </c>
      <c r="E137" s="9" t="s">
        <v>703</v>
      </c>
      <c r="H137" s="4">
        <v>1</v>
      </c>
      <c r="I137" t="s">
        <v>200</v>
      </c>
      <c r="J137" t="s">
        <v>704</v>
      </c>
      <c r="L137" t="s">
        <v>33</v>
      </c>
      <c r="M137" t="s">
        <v>202</v>
      </c>
      <c r="N137" s="8" t="s">
        <v>705</v>
      </c>
      <c r="Q137" t="s">
        <v>204</v>
      </c>
    </row>
    <row r="138" spans="1:17">
      <c r="A138" s="4" t="s">
        <v>66</v>
      </c>
      <c r="B138" t="s">
        <v>67</v>
      </c>
      <c r="D138" s="4" t="s">
        <v>47</v>
      </c>
      <c r="E138" s="9" t="s">
        <v>706</v>
      </c>
      <c r="H138" s="4">
        <v>1</v>
      </c>
      <c r="I138" t="s">
        <v>200</v>
      </c>
      <c r="J138" t="s">
        <v>645</v>
      </c>
      <c r="K138" t="s">
        <v>707</v>
      </c>
      <c r="L138" t="s">
        <v>33</v>
      </c>
      <c r="M138" s="10" t="s">
        <v>628</v>
      </c>
      <c r="N138" s="8" t="s">
        <v>708</v>
      </c>
      <c r="Q138" t="s">
        <v>204</v>
      </c>
    </row>
    <row r="139" spans="1:17">
      <c r="A139" s="4" t="s">
        <v>66</v>
      </c>
      <c r="B139" t="s">
        <v>488</v>
      </c>
      <c r="D139" s="4" t="s">
        <v>47</v>
      </c>
      <c r="E139" s="9" t="s">
        <v>709</v>
      </c>
      <c r="H139" s="4">
        <v>1</v>
      </c>
      <c r="I139" t="s">
        <v>200</v>
      </c>
      <c r="J139" t="s">
        <v>710</v>
      </c>
      <c r="K139" t="s">
        <v>711</v>
      </c>
      <c r="L139" t="s">
        <v>681</v>
      </c>
      <c r="M139" t="s">
        <v>202</v>
      </c>
      <c r="N139" s="8" t="s">
        <v>712</v>
      </c>
      <c r="Q139" t="s">
        <v>204</v>
      </c>
    </row>
    <row r="140" spans="1:17">
      <c r="A140" s="4" t="s">
        <v>66</v>
      </c>
      <c r="B140" t="s">
        <v>67</v>
      </c>
      <c r="D140" s="4" t="s">
        <v>47</v>
      </c>
      <c r="E140" s="9" t="s">
        <v>713</v>
      </c>
      <c r="H140" s="4">
        <v>1</v>
      </c>
      <c r="I140" t="s">
        <v>200</v>
      </c>
      <c r="J140" t="s">
        <v>645</v>
      </c>
      <c r="K140" t="s">
        <v>707</v>
      </c>
      <c r="L140" t="s">
        <v>33</v>
      </c>
      <c r="M140" s="10" t="s">
        <v>714</v>
      </c>
      <c r="N140" s="8" t="s">
        <v>715</v>
      </c>
      <c r="Q140" t="s">
        <v>204</v>
      </c>
    </row>
    <row r="141" spans="1:17">
      <c r="A141" s="4" t="s">
        <v>66</v>
      </c>
      <c r="B141" t="s">
        <v>99</v>
      </c>
      <c r="D141" s="4" t="s">
        <v>47</v>
      </c>
      <c r="E141" s="9" t="s">
        <v>716</v>
      </c>
      <c r="H141" s="4">
        <v>1</v>
      </c>
      <c r="I141" t="s">
        <v>200</v>
      </c>
      <c r="J141" t="s">
        <v>216</v>
      </c>
      <c r="K141" t="s">
        <v>717</v>
      </c>
      <c r="L141" t="s">
        <v>33</v>
      </c>
      <c r="M141" s="10" t="s">
        <v>718</v>
      </c>
      <c r="N141" s="8" t="s">
        <v>719</v>
      </c>
      <c r="Q141" t="s">
        <v>204</v>
      </c>
    </row>
    <row r="142" spans="1:17">
      <c r="A142" s="4" t="s">
        <v>66</v>
      </c>
      <c r="B142" t="s">
        <v>139</v>
      </c>
      <c r="D142" s="4" t="s">
        <v>47</v>
      </c>
      <c r="E142" s="9" t="s">
        <v>720</v>
      </c>
      <c r="H142" s="4">
        <v>1000</v>
      </c>
      <c r="I142" t="s">
        <v>113</v>
      </c>
      <c r="J142" t="s">
        <v>671</v>
      </c>
      <c r="K142" t="s">
        <v>163</v>
      </c>
      <c r="L142" t="s">
        <v>33</v>
      </c>
      <c r="M142" s="10" t="s">
        <v>610</v>
      </c>
      <c r="N142" s="8" t="s">
        <v>721</v>
      </c>
      <c r="Q142" t="s">
        <v>37</v>
      </c>
    </row>
    <row r="143" spans="1:17">
      <c r="A143" s="4" t="s">
        <v>66</v>
      </c>
      <c r="B143" t="s">
        <v>139</v>
      </c>
      <c r="D143" s="4" t="s">
        <v>47</v>
      </c>
      <c r="E143" s="9" t="s">
        <v>722</v>
      </c>
      <c r="H143" s="4">
        <v>1000</v>
      </c>
      <c r="I143" t="s">
        <v>197</v>
      </c>
      <c r="J143" t="s">
        <v>671</v>
      </c>
      <c r="K143" t="s">
        <v>184</v>
      </c>
      <c r="L143" t="s">
        <v>33</v>
      </c>
      <c r="M143" s="10" t="s">
        <v>51</v>
      </c>
      <c r="N143" s="8" t="s">
        <v>723</v>
      </c>
      <c r="Q143" t="s">
        <v>37</v>
      </c>
    </row>
    <row r="144" spans="1:17">
      <c r="A144" s="4" t="s">
        <v>66</v>
      </c>
      <c r="B144" t="s">
        <v>67</v>
      </c>
      <c r="D144" s="4" t="s">
        <v>691</v>
      </c>
      <c r="E144" t="s">
        <v>724</v>
      </c>
      <c r="F144" t="s">
        <v>85</v>
      </c>
      <c r="G144" t="s">
        <v>725</v>
      </c>
      <c r="H144" s="4">
        <v>5000</v>
      </c>
      <c r="I144" t="s">
        <v>726</v>
      </c>
      <c r="J144" t="s">
        <v>694</v>
      </c>
      <c r="K144" t="s">
        <v>695</v>
      </c>
      <c r="L144" t="s">
        <v>33</v>
      </c>
      <c r="M144" s="10" t="s">
        <v>610</v>
      </c>
      <c r="N144" s="8" t="s">
        <v>696</v>
      </c>
      <c r="O144" s="3" t="s">
        <v>727</v>
      </c>
      <c r="Q144" t="s">
        <v>204</v>
      </c>
    </row>
    <row r="145" spans="1:21">
      <c r="A145" s="4" t="s">
        <v>66</v>
      </c>
      <c r="B145" t="s">
        <v>139</v>
      </c>
      <c r="D145" s="4" t="s">
        <v>47</v>
      </c>
      <c r="E145" s="9" t="s">
        <v>728</v>
      </c>
      <c r="H145" s="4">
        <v>200</v>
      </c>
      <c r="I145" t="s">
        <v>101</v>
      </c>
      <c r="J145" t="s">
        <v>729</v>
      </c>
      <c r="K145" t="s">
        <v>156</v>
      </c>
      <c r="L145" t="s">
        <v>33</v>
      </c>
      <c r="M145" s="10" t="s">
        <v>628</v>
      </c>
      <c r="N145" s="8" t="s">
        <v>730</v>
      </c>
      <c r="Q145" t="s">
        <v>37</v>
      </c>
      <c r="R145" t="s">
        <v>38</v>
      </c>
      <c r="S145">
        <v>1</v>
      </c>
      <c r="T145">
        <v>12</v>
      </c>
      <c r="U145" s="5">
        <v>1</v>
      </c>
    </row>
    <row r="146" spans="1:21">
      <c r="A146" s="4" t="s">
        <v>66</v>
      </c>
      <c r="B146" t="s">
        <v>139</v>
      </c>
      <c r="D146" s="4" t="s">
        <v>47</v>
      </c>
      <c r="E146" s="9" t="s">
        <v>731</v>
      </c>
      <c r="H146" s="4">
        <v>80</v>
      </c>
      <c r="I146" t="s">
        <v>151</v>
      </c>
      <c r="J146" t="s">
        <v>729</v>
      </c>
      <c r="K146" t="s">
        <v>572</v>
      </c>
      <c r="L146" t="s">
        <v>33</v>
      </c>
      <c r="M146" s="10" t="s">
        <v>732</v>
      </c>
      <c r="N146" s="8" t="s">
        <v>733</v>
      </c>
      <c r="Q146" t="s">
        <v>37</v>
      </c>
      <c r="R146" t="s">
        <v>38</v>
      </c>
      <c r="S146">
        <v>1</v>
      </c>
      <c r="T146">
        <v>12</v>
      </c>
      <c r="U146" s="5">
        <v>2</v>
      </c>
    </row>
    <row r="147" spans="1:21">
      <c r="A147" s="4" t="s">
        <v>66</v>
      </c>
      <c r="B147" t="s">
        <v>67</v>
      </c>
      <c r="D147" s="4" t="s">
        <v>691</v>
      </c>
      <c r="E147" s="9" t="s">
        <v>734</v>
      </c>
      <c r="F147" t="s">
        <v>85</v>
      </c>
      <c r="G147" s="13" t="s">
        <v>735</v>
      </c>
      <c r="H147" s="4">
        <v>5000</v>
      </c>
      <c r="I147" t="s">
        <v>653</v>
      </c>
      <c r="J147" t="s">
        <v>694</v>
      </c>
      <c r="K147" t="s">
        <v>695</v>
      </c>
      <c r="L147" t="s">
        <v>33</v>
      </c>
      <c r="M147" s="10" t="s">
        <v>610</v>
      </c>
      <c r="N147" s="8" t="s">
        <v>696</v>
      </c>
      <c r="O147" s="3" t="s">
        <v>736</v>
      </c>
      <c r="Q147" t="s">
        <v>204</v>
      </c>
    </row>
    <row r="148" spans="1:21">
      <c r="A148" s="4" t="s">
        <v>66</v>
      </c>
      <c r="B148" t="s">
        <v>139</v>
      </c>
      <c r="D148" s="4" t="s">
        <v>47</v>
      </c>
      <c r="E148" s="9" t="s">
        <v>737</v>
      </c>
      <c r="H148" s="4">
        <v>1000</v>
      </c>
      <c r="I148" t="s">
        <v>101</v>
      </c>
      <c r="J148" t="s">
        <v>729</v>
      </c>
      <c r="K148" t="s">
        <v>143</v>
      </c>
      <c r="L148" t="s">
        <v>33</v>
      </c>
      <c r="M148" s="10" t="s">
        <v>628</v>
      </c>
      <c r="N148" s="8" t="s">
        <v>738</v>
      </c>
      <c r="Q148" t="s">
        <v>37</v>
      </c>
    </row>
    <row r="149" spans="1:21">
      <c r="A149" s="4" t="s">
        <v>66</v>
      </c>
      <c r="B149" t="s">
        <v>67</v>
      </c>
      <c r="D149" s="4" t="s">
        <v>221</v>
      </c>
      <c r="E149" s="9" t="s">
        <v>739</v>
      </c>
      <c r="F149" t="s">
        <v>29</v>
      </c>
      <c r="G149" s="13">
        <v>3213383</v>
      </c>
      <c r="H149" s="4">
        <v>1</v>
      </c>
      <c r="I149" t="s">
        <v>200</v>
      </c>
      <c r="J149" t="s">
        <v>645</v>
      </c>
      <c r="K149" t="s">
        <v>740</v>
      </c>
      <c r="L149" t="s">
        <v>33</v>
      </c>
      <c r="M149" s="10" t="s">
        <v>51</v>
      </c>
      <c r="N149" s="8" t="s">
        <v>741</v>
      </c>
      <c r="O149" s="3" t="s">
        <v>742</v>
      </c>
      <c r="Q149" t="s">
        <v>204</v>
      </c>
    </row>
    <row r="150" spans="1:21">
      <c r="A150" s="4" t="s">
        <v>66</v>
      </c>
      <c r="B150" t="s">
        <v>139</v>
      </c>
      <c r="D150" s="4" t="s">
        <v>47</v>
      </c>
      <c r="E150" s="9" t="s">
        <v>743</v>
      </c>
      <c r="H150" s="4">
        <v>1000</v>
      </c>
      <c r="I150" t="s">
        <v>744</v>
      </c>
      <c r="J150" t="s">
        <v>729</v>
      </c>
      <c r="K150" t="s">
        <v>156</v>
      </c>
      <c r="L150" t="s">
        <v>33</v>
      </c>
      <c r="M150" s="10" t="s">
        <v>628</v>
      </c>
      <c r="N150" s="8" t="s">
        <v>745</v>
      </c>
      <c r="Q150" t="s">
        <v>37</v>
      </c>
    </row>
    <row r="151" spans="1:21">
      <c r="A151" s="4" t="s">
        <v>66</v>
      </c>
      <c r="B151" t="s">
        <v>67</v>
      </c>
      <c r="D151" s="4" t="s">
        <v>221</v>
      </c>
      <c r="E151" s="9" t="s">
        <v>746</v>
      </c>
      <c r="F151" t="s">
        <v>29</v>
      </c>
      <c r="G151" s="13">
        <v>2610879</v>
      </c>
      <c r="H151" s="4">
        <v>2000</v>
      </c>
      <c r="I151" t="s">
        <v>151</v>
      </c>
      <c r="J151" t="s">
        <v>142</v>
      </c>
      <c r="K151" t="s">
        <v>163</v>
      </c>
      <c r="L151" t="s">
        <v>33</v>
      </c>
      <c r="M151" t="s">
        <v>747</v>
      </c>
      <c r="N151" s="8" t="s">
        <v>748</v>
      </c>
      <c r="O151" s="3" t="s">
        <v>749</v>
      </c>
      <c r="Q151" t="s">
        <v>204</v>
      </c>
    </row>
    <row r="152" spans="1:21">
      <c r="A152" s="4" t="s">
        <v>66</v>
      </c>
      <c r="B152" t="s">
        <v>139</v>
      </c>
      <c r="D152" s="4" t="s">
        <v>47</v>
      </c>
      <c r="E152" s="9" t="s">
        <v>750</v>
      </c>
      <c r="H152" s="4">
        <v>1000</v>
      </c>
      <c r="I152" t="s">
        <v>155</v>
      </c>
      <c r="J152" t="s">
        <v>729</v>
      </c>
      <c r="K152" t="s">
        <v>143</v>
      </c>
      <c r="L152" t="s">
        <v>33</v>
      </c>
      <c r="M152" s="10" t="s">
        <v>51</v>
      </c>
      <c r="N152" s="8" t="s">
        <v>751</v>
      </c>
      <c r="Q152" t="s">
        <v>37</v>
      </c>
    </row>
    <row r="153" spans="1:21">
      <c r="A153" s="4" t="s">
        <v>66</v>
      </c>
      <c r="B153" t="s">
        <v>67</v>
      </c>
      <c r="D153" s="4" t="s">
        <v>752</v>
      </c>
      <c r="E153" s="13" t="s">
        <v>753</v>
      </c>
      <c r="F153" t="s">
        <v>85</v>
      </c>
      <c r="G153" s="13" t="s">
        <v>753</v>
      </c>
      <c r="H153" s="4">
        <v>5000</v>
      </c>
      <c r="I153" t="s">
        <v>754</v>
      </c>
      <c r="J153" t="s">
        <v>694</v>
      </c>
      <c r="K153" t="s">
        <v>755</v>
      </c>
      <c r="L153" t="s">
        <v>33</v>
      </c>
      <c r="M153" s="10" t="s">
        <v>51</v>
      </c>
      <c r="N153" s="8" t="s">
        <v>756</v>
      </c>
      <c r="O153" s="3" t="s">
        <v>757</v>
      </c>
      <c r="Q153" t="s">
        <v>204</v>
      </c>
    </row>
    <row r="154" spans="1:21">
      <c r="A154" s="4" t="s">
        <v>66</v>
      </c>
      <c r="B154" t="s">
        <v>67</v>
      </c>
      <c r="D154" s="4" t="s">
        <v>752</v>
      </c>
      <c r="E154" s="13" t="s">
        <v>758</v>
      </c>
      <c r="F154" t="s">
        <v>85</v>
      </c>
      <c r="G154" s="13" t="s">
        <v>758</v>
      </c>
      <c r="H154" s="4">
        <v>5000</v>
      </c>
      <c r="I154" t="s">
        <v>653</v>
      </c>
      <c r="J154" t="s">
        <v>694</v>
      </c>
      <c r="K154" t="s">
        <v>755</v>
      </c>
      <c r="L154" t="s">
        <v>33</v>
      </c>
      <c r="M154" s="10" t="s">
        <v>51</v>
      </c>
      <c r="N154" s="8" t="s">
        <v>759</v>
      </c>
      <c r="O154" s="3" t="s">
        <v>760</v>
      </c>
      <c r="Q154" t="s">
        <v>204</v>
      </c>
    </row>
    <row r="155" spans="1:21">
      <c r="A155" s="4" t="s">
        <v>66</v>
      </c>
      <c r="B155" t="s">
        <v>67</v>
      </c>
      <c r="D155" s="4" t="s">
        <v>752</v>
      </c>
      <c r="E155" s="13" t="s">
        <v>761</v>
      </c>
      <c r="F155" t="s">
        <v>85</v>
      </c>
      <c r="G155" s="13" t="s">
        <v>761</v>
      </c>
      <c r="H155" s="4">
        <v>5000</v>
      </c>
      <c r="I155" t="s">
        <v>726</v>
      </c>
      <c r="J155" t="s">
        <v>694</v>
      </c>
      <c r="K155" t="s">
        <v>755</v>
      </c>
      <c r="L155" t="s">
        <v>33</v>
      </c>
      <c r="M155" s="10" t="s">
        <v>51</v>
      </c>
      <c r="N155" s="8" t="s">
        <v>762</v>
      </c>
      <c r="O155" s="3" t="s">
        <v>763</v>
      </c>
      <c r="Q155" t="s">
        <v>204</v>
      </c>
    </row>
    <row r="156" spans="1:21">
      <c r="A156" s="4" t="s">
        <v>66</v>
      </c>
      <c r="B156" t="s">
        <v>67</v>
      </c>
      <c r="D156" s="4" t="s">
        <v>68</v>
      </c>
      <c r="E156" s="9" t="s">
        <v>764</v>
      </c>
      <c r="F156" t="s">
        <v>85</v>
      </c>
      <c r="G156" s="13" t="s">
        <v>765</v>
      </c>
      <c r="H156" s="4">
        <v>5000</v>
      </c>
      <c r="I156" t="s">
        <v>766</v>
      </c>
      <c r="J156" t="s">
        <v>694</v>
      </c>
      <c r="K156" t="s">
        <v>755</v>
      </c>
      <c r="L156" t="s">
        <v>33</v>
      </c>
      <c r="M156" s="10" t="s">
        <v>51</v>
      </c>
      <c r="N156" s="8" t="s">
        <v>767</v>
      </c>
      <c r="O156" s="3" t="s">
        <v>768</v>
      </c>
      <c r="Q156" t="s">
        <v>204</v>
      </c>
    </row>
    <row r="157" spans="1:21">
      <c r="A157" s="4" t="s">
        <v>66</v>
      </c>
      <c r="B157" t="s">
        <v>67</v>
      </c>
      <c r="D157" s="4" t="s">
        <v>68</v>
      </c>
      <c r="E157" s="9" t="s">
        <v>769</v>
      </c>
      <c r="F157" t="s">
        <v>85</v>
      </c>
      <c r="G157" s="13" t="s">
        <v>770</v>
      </c>
      <c r="H157" s="4">
        <v>5000</v>
      </c>
      <c r="I157" t="s">
        <v>766</v>
      </c>
      <c r="J157" t="s">
        <v>645</v>
      </c>
      <c r="K157" t="s">
        <v>695</v>
      </c>
      <c r="L157" t="s">
        <v>33</v>
      </c>
      <c r="M157" s="10" t="s">
        <v>610</v>
      </c>
      <c r="N157" s="8" t="s">
        <v>771</v>
      </c>
      <c r="O157" s="3" t="s">
        <v>772</v>
      </c>
      <c r="Q157" t="s">
        <v>204</v>
      </c>
    </row>
    <row r="158" spans="1:21">
      <c r="A158" s="4" t="s">
        <v>66</v>
      </c>
      <c r="B158" t="s">
        <v>67</v>
      </c>
      <c r="D158" s="4" t="s">
        <v>68</v>
      </c>
      <c r="E158" t="s">
        <v>773</v>
      </c>
      <c r="F158" t="s">
        <v>85</v>
      </c>
      <c r="G158" s="13" t="s">
        <v>774</v>
      </c>
      <c r="H158" s="4">
        <v>5000</v>
      </c>
      <c r="I158" t="s">
        <v>726</v>
      </c>
      <c r="J158" t="s">
        <v>694</v>
      </c>
      <c r="K158" t="s">
        <v>775</v>
      </c>
      <c r="L158" t="s">
        <v>33</v>
      </c>
      <c r="M158" s="10" t="s">
        <v>776</v>
      </c>
      <c r="N158" s="8" t="s">
        <v>777</v>
      </c>
      <c r="O158" s="3" t="s">
        <v>778</v>
      </c>
      <c r="Q158" t="s">
        <v>204</v>
      </c>
    </row>
    <row r="159" spans="1:21">
      <c r="A159" s="4" t="s">
        <v>66</v>
      </c>
      <c r="B159" t="s">
        <v>139</v>
      </c>
      <c r="D159" s="4" t="s">
        <v>779</v>
      </c>
      <c r="E159" s="9" t="s">
        <v>780</v>
      </c>
      <c r="F159" t="s">
        <v>85</v>
      </c>
      <c r="G159" t="s">
        <v>781</v>
      </c>
      <c r="H159" s="4">
        <v>4000</v>
      </c>
      <c r="I159" t="s">
        <v>744</v>
      </c>
      <c r="J159" t="s">
        <v>729</v>
      </c>
      <c r="K159" t="s">
        <v>782</v>
      </c>
      <c r="L159" t="s">
        <v>33</v>
      </c>
      <c r="M159" s="10" t="s">
        <v>51</v>
      </c>
      <c r="N159" s="8" t="s">
        <v>783</v>
      </c>
      <c r="O159" s="3" t="s">
        <v>784</v>
      </c>
      <c r="Q159" t="s">
        <v>204</v>
      </c>
    </row>
    <row r="160" spans="1:21">
      <c r="A160" s="4" t="s">
        <v>66</v>
      </c>
      <c r="B160" t="s">
        <v>67</v>
      </c>
      <c r="D160" s="4" t="s">
        <v>785</v>
      </c>
      <c r="E160" s="9" t="s">
        <v>786</v>
      </c>
      <c r="F160" t="s">
        <v>85</v>
      </c>
      <c r="G160" s="13" t="s">
        <v>787</v>
      </c>
      <c r="H160" s="4">
        <v>1000</v>
      </c>
      <c r="I160" t="s">
        <v>766</v>
      </c>
      <c r="J160" t="s">
        <v>694</v>
      </c>
      <c r="K160" t="s">
        <v>775</v>
      </c>
      <c r="L160" t="s">
        <v>33</v>
      </c>
      <c r="M160" s="10" t="s">
        <v>776</v>
      </c>
      <c r="N160" s="8" t="s">
        <v>788</v>
      </c>
      <c r="O160" s="3" t="s">
        <v>789</v>
      </c>
      <c r="Q160" t="s">
        <v>204</v>
      </c>
    </row>
    <row r="161" spans="1:17">
      <c r="A161" s="4" t="s">
        <v>66</v>
      </c>
      <c r="B161" t="s">
        <v>139</v>
      </c>
      <c r="D161" s="4" t="s">
        <v>779</v>
      </c>
      <c r="E161" s="9" t="s">
        <v>790</v>
      </c>
      <c r="F161" t="s">
        <v>85</v>
      </c>
      <c r="G161" s="13" t="s">
        <v>791</v>
      </c>
      <c r="H161" s="4">
        <v>4000</v>
      </c>
      <c r="I161" t="s">
        <v>101</v>
      </c>
      <c r="J161" t="s">
        <v>729</v>
      </c>
      <c r="K161" t="s">
        <v>782</v>
      </c>
      <c r="L161" t="s">
        <v>33</v>
      </c>
      <c r="M161" s="10" t="s">
        <v>51</v>
      </c>
      <c r="N161" s="8" t="s">
        <v>792</v>
      </c>
      <c r="O161" s="3" t="s">
        <v>793</v>
      </c>
      <c r="Q161" t="s">
        <v>204</v>
      </c>
    </row>
    <row r="162" spans="1:17">
      <c r="A162" s="4" t="s">
        <v>66</v>
      </c>
      <c r="B162" t="s">
        <v>139</v>
      </c>
      <c r="D162" s="4" t="s">
        <v>785</v>
      </c>
      <c r="E162" s="9" t="s">
        <v>794</v>
      </c>
      <c r="F162" t="s">
        <v>795</v>
      </c>
      <c r="G162" s="13" t="s">
        <v>796</v>
      </c>
      <c r="H162" s="4">
        <v>4000</v>
      </c>
      <c r="I162" t="s">
        <v>101</v>
      </c>
      <c r="J162" t="s">
        <v>729</v>
      </c>
      <c r="K162" t="s">
        <v>163</v>
      </c>
      <c r="L162" t="s">
        <v>33</v>
      </c>
      <c r="M162" s="10" t="s">
        <v>610</v>
      </c>
      <c r="N162" s="8" t="s">
        <v>797</v>
      </c>
      <c r="O162" s="3" t="s">
        <v>798</v>
      </c>
      <c r="Q162" t="s">
        <v>204</v>
      </c>
    </row>
    <row r="163" spans="1:17">
      <c r="A163" s="4" t="s">
        <v>66</v>
      </c>
      <c r="B163" t="s">
        <v>67</v>
      </c>
      <c r="D163" s="4" t="s">
        <v>799</v>
      </c>
      <c r="E163" s="9" t="s">
        <v>800</v>
      </c>
      <c r="H163" s="4">
        <v>5000</v>
      </c>
      <c r="I163" t="s">
        <v>726</v>
      </c>
      <c r="J163" t="s">
        <v>694</v>
      </c>
      <c r="K163" t="s">
        <v>775</v>
      </c>
      <c r="L163" t="s">
        <v>33</v>
      </c>
      <c r="M163" s="10" t="s">
        <v>610</v>
      </c>
      <c r="Q163" t="s">
        <v>204</v>
      </c>
    </row>
    <row r="164" spans="1:17">
      <c r="A164" s="4" t="s">
        <v>66</v>
      </c>
      <c r="B164" t="s">
        <v>67</v>
      </c>
      <c r="D164" s="4" t="s">
        <v>477</v>
      </c>
      <c r="E164" s="9" t="s">
        <v>801</v>
      </c>
      <c r="H164" s="4">
        <v>5000</v>
      </c>
      <c r="I164" t="s">
        <v>802</v>
      </c>
      <c r="J164" t="s">
        <v>645</v>
      </c>
      <c r="L164" t="s">
        <v>33</v>
      </c>
      <c r="M164" s="10" t="s">
        <v>610</v>
      </c>
      <c r="Q164" t="s">
        <v>204</v>
      </c>
    </row>
    <row r="165" spans="1:17">
      <c r="A165" s="4" t="s">
        <v>66</v>
      </c>
      <c r="B165" t="s">
        <v>67</v>
      </c>
      <c r="D165" s="4" t="s">
        <v>691</v>
      </c>
      <c r="E165" s="9" t="s">
        <v>803</v>
      </c>
      <c r="F165" t="s">
        <v>85</v>
      </c>
      <c r="G165" t="s">
        <v>804</v>
      </c>
      <c r="H165" s="4">
        <v>5000</v>
      </c>
      <c r="I165" t="s">
        <v>644</v>
      </c>
      <c r="J165" t="s">
        <v>694</v>
      </c>
      <c r="K165" t="s">
        <v>695</v>
      </c>
      <c r="L165" t="s">
        <v>33</v>
      </c>
      <c r="M165" s="10" t="s">
        <v>610</v>
      </c>
      <c r="N165" s="8" t="s">
        <v>805</v>
      </c>
      <c r="O165" s="3" t="s">
        <v>806</v>
      </c>
      <c r="Q165" t="s">
        <v>204</v>
      </c>
    </row>
    <row r="166" spans="1:17">
      <c r="A166" s="4" t="s">
        <v>66</v>
      </c>
      <c r="B166" t="s">
        <v>67</v>
      </c>
      <c r="D166" s="4" t="s">
        <v>691</v>
      </c>
      <c r="E166" s="9" t="s">
        <v>807</v>
      </c>
      <c r="F166" t="s">
        <v>85</v>
      </c>
      <c r="G166" s="13" t="s">
        <v>808</v>
      </c>
      <c r="H166" s="4">
        <v>5000</v>
      </c>
      <c r="I166" t="s">
        <v>754</v>
      </c>
      <c r="J166" t="s">
        <v>645</v>
      </c>
      <c r="K166" t="s">
        <v>695</v>
      </c>
      <c r="L166" t="s">
        <v>33</v>
      </c>
      <c r="M166" s="10" t="s">
        <v>610</v>
      </c>
      <c r="N166" s="8" t="s">
        <v>805</v>
      </c>
      <c r="O166" s="3" t="s">
        <v>809</v>
      </c>
      <c r="Q166" t="s">
        <v>204</v>
      </c>
    </row>
    <row r="167" spans="1:17">
      <c r="A167" s="4" t="s">
        <v>66</v>
      </c>
      <c r="B167" t="s">
        <v>67</v>
      </c>
      <c r="D167" s="4" t="s">
        <v>691</v>
      </c>
      <c r="E167" t="s">
        <v>810</v>
      </c>
      <c r="F167" t="s">
        <v>85</v>
      </c>
      <c r="G167" s="13" t="s">
        <v>811</v>
      </c>
      <c r="H167" s="4">
        <v>10000</v>
      </c>
      <c r="I167" t="s">
        <v>726</v>
      </c>
      <c r="J167" t="s">
        <v>694</v>
      </c>
      <c r="K167" t="s">
        <v>695</v>
      </c>
      <c r="L167" t="s">
        <v>33</v>
      </c>
      <c r="M167" s="10" t="s">
        <v>610</v>
      </c>
      <c r="N167" s="8" t="s">
        <v>805</v>
      </c>
      <c r="O167" s="3" t="s">
        <v>812</v>
      </c>
      <c r="Q167" t="s">
        <v>204</v>
      </c>
    </row>
    <row r="168" spans="1:17">
      <c r="A168" s="4" t="s">
        <v>66</v>
      </c>
      <c r="B168" t="s">
        <v>67</v>
      </c>
      <c r="D168" s="4" t="s">
        <v>691</v>
      </c>
      <c r="E168" s="9" t="s">
        <v>813</v>
      </c>
      <c r="F168" t="s">
        <v>85</v>
      </c>
      <c r="G168" t="s">
        <v>814</v>
      </c>
      <c r="H168" s="4">
        <v>5000</v>
      </c>
      <c r="I168" t="s">
        <v>815</v>
      </c>
      <c r="J168" t="s">
        <v>645</v>
      </c>
      <c r="K168" t="s">
        <v>695</v>
      </c>
      <c r="L168" t="s">
        <v>33</v>
      </c>
      <c r="M168" s="10" t="s">
        <v>610</v>
      </c>
      <c r="N168" s="8" t="s">
        <v>805</v>
      </c>
      <c r="O168" s="3" t="s">
        <v>816</v>
      </c>
      <c r="Q168" t="s">
        <v>204</v>
      </c>
    </row>
    <row r="169" spans="1:17">
      <c r="A169" s="4" t="s">
        <v>66</v>
      </c>
      <c r="B169" t="s">
        <v>67</v>
      </c>
      <c r="D169" s="4" t="s">
        <v>691</v>
      </c>
      <c r="E169" t="s">
        <v>817</v>
      </c>
      <c r="F169" t="s">
        <v>85</v>
      </c>
      <c r="G169" t="s">
        <v>818</v>
      </c>
      <c r="H169" s="4">
        <v>5000</v>
      </c>
      <c r="I169" t="s">
        <v>819</v>
      </c>
      <c r="J169" t="s">
        <v>694</v>
      </c>
      <c r="K169" t="s">
        <v>695</v>
      </c>
      <c r="L169" t="s">
        <v>33</v>
      </c>
      <c r="M169" s="10" t="s">
        <v>610</v>
      </c>
      <c r="N169" s="8" t="s">
        <v>805</v>
      </c>
      <c r="O169" s="3" t="s">
        <v>820</v>
      </c>
      <c r="Q169" t="s">
        <v>204</v>
      </c>
    </row>
    <row r="170" spans="1:17">
      <c r="A170" s="4" t="s">
        <v>66</v>
      </c>
      <c r="B170" t="s">
        <v>67</v>
      </c>
      <c r="D170" s="4" t="s">
        <v>691</v>
      </c>
      <c r="E170" t="s">
        <v>821</v>
      </c>
      <c r="F170" t="s">
        <v>85</v>
      </c>
      <c r="G170" s="13" t="s">
        <v>822</v>
      </c>
      <c r="H170" s="4">
        <v>5000</v>
      </c>
      <c r="I170" t="s">
        <v>823</v>
      </c>
      <c r="J170" t="s">
        <v>645</v>
      </c>
      <c r="K170" t="s">
        <v>695</v>
      </c>
      <c r="L170" t="s">
        <v>33</v>
      </c>
      <c r="M170" s="10" t="s">
        <v>610</v>
      </c>
      <c r="N170" s="8" t="s">
        <v>805</v>
      </c>
      <c r="O170" s="3" t="s">
        <v>824</v>
      </c>
      <c r="Q170" t="s">
        <v>204</v>
      </c>
    </row>
    <row r="171" spans="1:17">
      <c r="A171" s="4" t="s">
        <v>66</v>
      </c>
      <c r="B171" t="s">
        <v>67</v>
      </c>
      <c r="D171" s="4" t="s">
        <v>691</v>
      </c>
      <c r="E171" t="s">
        <v>825</v>
      </c>
      <c r="F171" t="s">
        <v>85</v>
      </c>
      <c r="G171" t="s">
        <v>826</v>
      </c>
      <c r="H171" s="4">
        <v>5000</v>
      </c>
      <c r="I171" t="s">
        <v>827</v>
      </c>
      <c r="J171" t="s">
        <v>694</v>
      </c>
      <c r="K171" t="s">
        <v>695</v>
      </c>
      <c r="L171" t="s">
        <v>33</v>
      </c>
      <c r="M171" s="10" t="s">
        <v>610</v>
      </c>
      <c r="N171" s="8" t="s">
        <v>805</v>
      </c>
      <c r="O171" s="3" t="s">
        <v>828</v>
      </c>
      <c r="Q171" t="s">
        <v>204</v>
      </c>
    </row>
    <row r="172" spans="1:17">
      <c r="A172" s="4" t="s">
        <v>66</v>
      </c>
      <c r="B172" t="s">
        <v>139</v>
      </c>
      <c r="D172" s="4" t="s">
        <v>496</v>
      </c>
      <c r="E172" t="s">
        <v>829</v>
      </c>
      <c r="F172" t="s">
        <v>85</v>
      </c>
      <c r="G172" s="13" t="s">
        <v>830</v>
      </c>
      <c r="H172" s="4">
        <v>2500</v>
      </c>
      <c r="I172" t="s">
        <v>831</v>
      </c>
      <c r="J172" t="s">
        <v>729</v>
      </c>
      <c r="K172" t="s">
        <v>782</v>
      </c>
      <c r="L172" t="s">
        <v>33</v>
      </c>
      <c r="M172" s="10" t="s">
        <v>832</v>
      </c>
      <c r="N172" s="8" t="s">
        <v>833</v>
      </c>
      <c r="O172" s="3" t="s">
        <v>834</v>
      </c>
      <c r="Q172" t="s">
        <v>204</v>
      </c>
    </row>
    <row r="173" spans="1:17">
      <c r="A173" s="4" t="s">
        <v>66</v>
      </c>
      <c r="B173" t="s">
        <v>67</v>
      </c>
      <c r="D173" s="4" t="s">
        <v>691</v>
      </c>
      <c r="E173" t="s">
        <v>835</v>
      </c>
      <c r="F173" t="s">
        <v>85</v>
      </c>
      <c r="G173" s="13" t="s">
        <v>836</v>
      </c>
      <c r="H173" s="4">
        <v>5000</v>
      </c>
      <c r="I173" t="s">
        <v>837</v>
      </c>
      <c r="J173" t="s">
        <v>694</v>
      </c>
      <c r="K173" t="s">
        <v>695</v>
      </c>
      <c r="L173" t="s">
        <v>33</v>
      </c>
      <c r="M173" s="10" t="s">
        <v>610</v>
      </c>
      <c r="N173" s="8" t="s">
        <v>805</v>
      </c>
      <c r="O173" s="3" t="s">
        <v>838</v>
      </c>
      <c r="Q173" t="s">
        <v>204</v>
      </c>
    </row>
    <row r="174" spans="1:17">
      <c r="A174" s="4" t="s">
        <v>66</v>
      </c>
      <c r="B174" t="s">
        <v>67</v>
      </c>
      <c r="D174" s="4" t="s">
        <v>691</v>
      </c>
      <c r="E174" s="9" t="s">
        <v>839</v>
      </c>
      <c r="F174" t="s">
        <v>85</v>
      </c>
      <c r="G174" s="13" t="s">
        <v>811</v>
      </c>
      <c r="H174" s="4">
        <v>5000</v>
      </c>
      <c r="I174" t="s">
        <v>840</v>
      </c>
      <c r="J174" t="s">
        <v>645</v>
      </c>
      <c r="K174" t="s">
        <v>695</v>
      </c>
      <c r="L174" t="s">
        <v>33</v>
      </c>
      <c r="M174" s="10" t="s">
        <v>610</v>
      </c>
      <c r="N174" s="8" t="s">
        <v>805</v>
      </c>
      <c r="O174" s="3" t="s">
        <v>841</v>
      </c>
      <c r="Q174" t="s">
        <v>204</v>
      </c>
    </row>
    <row r="175" spans="1:17">
      <c r="A175" s="4" t="s">
        <v>66</v>
      </c>
      <c r="B175" t="s">
        <v>67</v>
      </c>
      <c r="D175" s="4" t="s">
        <v>691</v>
      </c>
      <c r="E175" t="s">
        <v>842</v>
      </c>
      <c r="F175" t="s">
        <v>85</v>
      </c>
      <c r="G175" s="13" t="s">
        <v>843</v>
      </c>
      <c r="H175" s="4">
        <v>5000</v>
      </c>
      <c r="I175" t="s">
        <v>844</v>
      </c>
      <c r="J175" t="s">
        <v>694</v>
      </c>
      <c r="K175" t="s">
        <v>695</v>
      </c>
      <c r="L175" t="s">
        <v>33</v>
      </c>
      <c r="M175" s="10" t="s">
        <v>610</v>
      </c>
      <c r="N175" s="8" t="s">
        <v>805</v>
      </c>
      <c r="O175" s="3" t="s">
        <v>845</v>
      </c>
      <c r="Q175" t="s">
        <v>204</v>
      </c>
    </row>
    <row r="176" spans="1:17">
      <c r="A176" s="4" t="s">
        <v>66</v>
      </c>
      <c r="B176" t="s">
        <v>67</v>
      </c>
      <c r="D176" s="4" t="s">
        <v>691</v>
      </c>
      <c r="E176" t="s">
        <v>846</v>
      </c>
      <c r="F176" t="s">
        <v>85</v>
      </c>
      <c r="G176" s="13" t="s">
        <v>847</v>
      </c>
      <c r="H176" s="4">
        <v>5000</v>
      </c>
      <c r="I176" t="s">
        <v>848</v>
      </c>
      <c r="J176" t="s">
        <v>645</v>
      </c>
      <c r="K176" t="s">
        <v>695</v>
      </c>
      <c r="L176" t="s">
        <v>33</v>
      </c>
      <c r="M176" s="10" t="s">
        <v>610</v>
      </c>
      <c r="N176" s="8" t="s">
        <v>805</v>
      </c>
      <c r="O176" s="3" t="s">
        <v>849</v>
      </c>
      <c r="Q176" t="s">
        <v>204</v>
      </c>
    </row>
    <row r="177" spans="1:17">
      <c r="A177" s="4" t="s">
        <v>66</v>
      </c>
      <c r="B177" t="s">
        <v>67</v>
      </c>
      <c r="D177" s="4" t="s">
        <v>691</v>
      </c>
      <c r="E177" t="s">
        <v>850</v>
      </c>
      <c r="F177" t="s">
        <v>85</v>
      </c>
      <c r="G177" s="13" t="s">
        <v>811</v>
      </c>
      <c r="H177" s="4">
        <v>5000</v>
      </c>
      <c r="I177" t="s">
        <v>851</v>
      </c>
      <c r="J177" t="s">
        <v>694</v>
      </c>
      <c r="K177" t="s">
        <v>695</v>
      </c>
      <c r="L177" t="s">
        <v>33</v>
      </c>
      <c r="M177" s="10" t="s">
        <v>610</v>
      </c>
      <c r="N177" s="8" t="s">
        <v>805</v>
      </c>
      <c r="O177" s="3" t="s">
        <v>852</v>
      </c>
      <c r="Q177" t="s">
        <v>204</v>
      </c>
    </row>
    <row r="178" spans="1:17">
      <c r="A178" s="4" t="s">
        <v>66</v>
      </c>
      <c r="B178" t="s">
        <v>67</v>
      </c>
      <c r="D178" s="4" t="s">
        <v>691</v>
      </c>
      <c r="E178" s="9" t="s">
        <v>853</v>
      </c>
      <c r="F178" t="s">
        <v>85</v>
      </c>
      <c r="G178" s="13" t="s">
        <v>811</v>
      </c>
      <c r="H178" s="4">
        <v>5000</v>
      </c>
      <c r="I178" t="s">
        <v>854</v>
      </c>
      <c r="J178" t="s">
        <v>645</v>
      </c>
      <c r="K178" t="s">
        <v>695</v>
      </c>
      <c r="L178" t="s">
        <v>33</v>
      </c>
      <c r="M178" s="10" t="s">
        <v>610</v>
      </c>
      <c r="N178" s="8" t="s">
        <v>805</v>
      </c>
      <c r="O178" s="3" t="s">
        <v>855</v>
      </c>
      <c r="Q178" t="s">
        <v>204</v>
      </c>
    </row>
    <row r="179" spans="1:17">
      <c r="A179" s="4" t="s">
        <v>66</v>
      </c>
      <c r="B179" t="s">
        <v>67</v>
      </c>
      <c r="D179" s="4" t="s">
        <v>691</v>
      </c>
      <c r="E179" t="s">
        <v>856</v>
      </c>
      <c r="F179" t="s">
        <v>85</v>
      </c>
      <c r="G179" s="13" t="s">
        <v>857</v>
      </c>
      <c r="H179" s="4">
        <v>5000</v>
      </c>
      <c r="I179" t="s">
        <v>858</v>
      </c>
      <c r="J179" t="s">
        <v>694</v>
      </c>
      <c r="K179" t="s">
        <v>695</v>
      </c>
      <c r="L179" t="s">
        <v>33</v>
      </c>
      <c r="M179" s="10" t="s">
        <v>610</v>
      </c>
      <c r="N179" s="8" t="s">
        <v>805</v>
      </c>
      <c r="O179" s="3" t="s">
        <v>859</v>
      </c>
      <c r="Q179" t="s">
        <v>204</v>
      </c>
    </row>
    <row r="180" spans="1:17">
      <c r="A180" s="4" t="s">
        <v>66</v>
      </c>
      <c r="B180" t="s">
        <v>67</v>
      </c>
      <c r="D180" s="4" t="s">
        <v>691</v>
      </c>
      <c r="E180" t="s">
        <v>860</v>
      </c>
      <c r="F180" t="s">
        <v>85</v>
      </c>
      <c r="G180" t="s">
        <v>861</v>
      </c>
      <c r="H180" s="4">
        <v>5000</v>
      </c>
      <c r="I180" t="s">
        <v>862</v>
      </c>
      <c r="J180" t="s">
        <v>645</v>
      </c>
      <c r="K180" t="s">
        <v>695</v>
      </c>
      <c r="L180" t="s">
        <v>33</v>
      </c>
      <c r="M180" s="10" t="s">
        <v>610</v>
      </c>
      <c r="N180" s="8" t="s">
        <v>805</v>
      </c>
      <c r="O180" s="3" t="s">
        <v>863</v>
      </c>
      <c r="Q180" t="s">
        <v>204</v>
      </c>
    </row>
    <row r="181" spans="1:17">
      <c r="A181" s="4" t="s">
        <v>66</v>
      </c>
      <c r="B181" t="s">
        <v>67</v>
      </c>
      <c r="D181" s="4" t="s">
        <v>691</v>
      </c>
      <c r="E181" s="9" t="s">
        <v>864</v>
      </c>
      <c r="F181" t="s">
        <v>85</v>
      </c>
      <c r="G181" s="13" t="s">
        <v>865</v>
      </c>
      <c r="H181" s="4">
        <v>5000</v>
      </c>
      <c r="I181" t="s">
        <v>866</v>
      </c>
      <c r="J181" t="s">
        <v>645</v>
      </c>
      <c r="K181" t="s">
        <v>695</v>
      </c>
      <c r="L181" t="s">
        <v>33</v>
      </c>
      <c r="M181" s="10" t="s">
        <v>610</v>
      </c>
      <c r="N181" s="8" t="s">
        <v>805</v>
      </c>
      <c r="O181" s="3" t="s">
        <v>867</v>
      </c>
      <c r="Q181" t="s">
        <v>204</v>
      </c>
    </row>
    <row r="182" spans="1:17">
      <c r="A182" s="4" t="s">
        <v>66</v>
      </c>
      <c r="B182" t="s">
        <v>67</v>
      </c>
      <c r="D182" s="4" t="s">
        <v>691</v>
      </c>
      <c r="E182" s="9" t="s">
        <v>868</v>
      </c>
      <c r="F182" t="s">
        <v>85</v>
      </c>
      <c r="G182" s="13" t="s">
        <v>869</v>
      </c>
      <c r="H182" s="4">
        <v>5000</v>
      </c>
      <c r="I182" t="s">
        <v>870</v>
      </c>
      <c r="J182" t="s">
        <v>694</v>
      </c>
      <c r="K182" t="s">
        <v>695</v>
      </c>
      <c r="L182" t="s">
        <v>33</v>
      </c>
      <c r="M182" s="10" t="s">
        <v>610</v>
      </c>
      <c r="N182" s="8" t="s">
        <v>805</v>
      </c>
      <c r="O182" s="3" t="s">
        <v>871</v>
      </c>
      <c r="Q182" t="s">
        <v>204</v>
      </c>
    </row>
    <row r="183" spans="1:17">
      <c r="A183" s="4" t="s">
        <v>66</v>
      </c>
      <c r="B183" t="s">
        <v>67</v>
      </c>
      <c r="D183" s="4" t="s">
        <v>691</v>
      </c>
      <c r="E183" t="s">
        <v>872</v>
      </c>
      <c r="F183" t="s">
        <v>85</v>
      </c>
      <c r="G183" t="s">
        <v>873</v>
      </c>
      <c r="H183" s="4">
        <v>5000</v>
      </c>
      <c r="I183" t="s">
        <v>874</v>
      </c>
      <c r="J183" t="s">
        <v>694</v>
      </c>
      <c r="K183" t="s">
        <v>695</v>
      </c>
      <c r="L183" t="s">
        <v>33</v>
      </c>
      <c r="M183" s="10" t="s">
        <v>610</v>
      </c>
      <c r="N183" s="8" t="s">
        <v>805</v>
      </c>
      <c r="O183" s="3" t="s">
        <v>875</v>
      </c>
      <c r="Q183" t="s">
        <v>204</v>
      </c>
    </row>
    <row r="184" spans="1:17">
      <c r="A184" s="4" t="s">
        <v>66</v>
      </c>
      <c r="B184" t="s">
        <v>139</v>
      </c>
      <c r="D184" s="4" t="s">
        <v>496</v>
      </c>
      <c r="E184" s="9" t="s">
        <v>876</v>
      </c>
      <c r="F184" t="s">
        <v>795</v>
      </c>
      <c r="G184" s="13" t="s">
        <v>877</v>
      </c>
      <c r="H184" s="4">
        <v>3000</v>
      </c>
      <c r="I184" t="s">
        <v>155</v>
      </c>
      <c r="J184" t="s">
        <v>729</v>
      </c>
      <c r="K184" t="s">
        <v>878</v>
      </c>
      <c r="L184" t="s">
        <v>33</v>
      </c>
      <c r="M184" s="10" t="s">
        <v>610</v>
      </c>
      <c r="N184" s="8" t="s">
        <v>879</v>
      </c>
      <c r="O184" s="3" t="s">
        <v>880</v>
      </c>
      <c r="Q184" t="s">
        <v>204</v>
      </c>
    </row>
    <row r="185" spans="1:17">
      <c r="A185" s="4" t="s">
        <v>66</v>
      </c>
      <c r="B185" t="s">
        <v>67</v>
      </c>
      <c r="D185" s="4" t="s">
        <v>691</v>
      </c>
      <c r="E185" t="s">
        <v>881</v>
      </c>
      <c r="F185" t="s">
        <v>85</v>
      </c>
      <c r="G185" s="13" t="s">
        <v>882</v>
      </c>
      <c r="H185" s="4">
        <v>5000</v>
      </c>
      <c r="I185" t="s">
        <v>883</v>
      </c>
      <c r="J185" t="s">
        <v>694</v>
      </c>
      <c r="K185" t="s">
        <v>695</v>
      </c>
      <c r="L185" t="s">
        <v>33</v>
      </c>
      <c r="M185" s="10" t="s">
        <v>610</v>
      </c>
      <c r="N185" s="8" t="s">
        <v>805</v>
      </c>
      <c r="O185" s="3" t="s">
        <v>884</v>
      </c>
      <c r="Q185" t="s">
        <v>204</v>
      </c>
    </row>
    <row r="186" spans="1:17">
      <c r="A186" s="4" t="s">
        <v>66</v>
      </c>
      <c r="B186" t="s">
        <v>67</v>
      </c>
      <c r="D186" s="4" t="s">
        <v>691</v>
      </c>
      <c r="E186" s="9" t="s">
        <v>885</v>
      </c>
      <c r="F186" t="s">
        <v>29</v>
      </c>
      <c r="G186" s="13">
        <v>3952049</v>
      </c>
      <c r="H186" s="4">
        <v>5000</v>
      </c>
      <c r="I186" t="s">
        <v>886</v>
      </c>
      <c r="J186" t="s">
        <v>645</v>
      </c>
      <c r="K186" t="s">
        <v>695</v>
      </c>
      <c r="L186" t="s">
        <v>33</v>
      </c>
      <c r="M186" s="10" t="s">
        <v>610</v>
      </c>
      <c r="N186" s="8" t="s">
        <v>805</v>
      </c>
      <c r="O186" s="3" t="s">
        <v>887</v>
      </c>
      <c r="Q186" t="s">
        <v>204</v>
      </c>
    </row>
    <row r="187" spans="1:17">
      <c r="A187" s="4" t="s">
        <v>66</v>
      </c>
      <c r="B187" t="s">
        <v>67</v>
      </c>
      <c r="D187" s="4" t="s">
        <v>691</v>
      </c>
      <c r="E187" s="9" t="s">
        <v>888</v>
      </c>
      <c r="F187" t="s">
        <v>85</v>
      </c>
      <c r="G187" s="13" t="s">
        <v>889</v>
      </c>
      <c r="H187" s="4">
        <v>5000</v>
      </c>
      <c r="I187" t="s">
        <v>766</v>
      </c>
      <c r="J187" t="s">
        <v>645</v>
      </c>
      <c r="K187" t="s">
        <v>695</v>
      </c>
      <c r="L187" t="s">
        <v>33</v>
      </c>
      <c r="M187" s="10" t="s">
        <v>610</v>
      </c>
      <c r="N187" s="8" t="s">
        <v>805</v>
      </c>
      <c r="O187" s="3" t="s">
        <v>890</v>
      </c>
      <c r="Q187" t="s">
        <v>204</v>
      </c>
    </row>
    <row r="188" spans="1:17">
      <c r="A188" s="4" t="s">
        <v>66</v>
      </c>
      <c r="B188" t="s">
        <v>67</v>
      </c>
      <c r="D188" s="4" t="s">
        <v>752</v>
      </c>
      <c r="E188" t="s">
        <v>891</v>
      </c>
      <c r="F188" t="s">
        <v>85</v>
      </c>
      <c r="G188" s="13" t="s">
        <v>891</v>
      </c>
      <c r="H188" s="4">
        <v>5000</v>
      </c>
      <c r="I188" t="s">
        <v>653</v>
      </c>
      <c r="J188" t="s">
        <v>694</v>
      </c>
      <c r="K188" t="s">
        <v>775</v>
      </c>
      <c r="L188" t="s">
        <v>33</v>
      </c>
      <c r="M188" s="10" t="s">
        <v>776</v>
      </c>
      <c r="N188" s="8" t="s">
        <v>892</v>
      </c>
      <c r="O188" s="3" t="s">
        <v>893</v>
      </c>
      <c r="Q188" t="s">
        <v>204</v>
      </c>
    </row>
    <row r="189" spans="1:17">
      <c r="A189" s="4" t="s">
        <v>66</v>
      </c>
      <c r="B189" t="s">
        <v>67</v>
      </c>
      <c r="D189" s="4" t="s">
        <v>477</v>
      </c>
      <c r="E189" s="9" t="s">
        <v>894</v>
      </c>
      <c r="H189" s="4">
        <v>5000</v>
      </c>
      <c r="I189" t="s">
        <v>844</v>
      </c>
      <c r="J189" t="s">
        <v>694</v>
      </c>
      <c r="K189" t="s">
        <v>775</v>
      </c>
      <c r="L189" t="s">
        <v>33</v>
      </c>
      <c r="M189" s="10" t="s">
        <v>776</v>
      </c>
      <c r="Q189" t="s">
        <v>204</v>
      </c>
    </row>
    <row r="190" spans="1:17">
      <c r="A190" s="4" t="s">
        <v>66</v>
      </c>
      <c r="B190" t="s">
        <v>67</v>
      </c>
      <c r="D190" s="4" t="s">
        <v>752</v>
      </c>
      <c r="E190" t="s">
        <v>895</v>
      </c>
      <c r="F190" t="s">
        <v>85</v>
      </c>
      <c r="G190" t="s">
        <v>895</v>
      </c>
      <c r="H190" s="4">
        <v>5000</v>
      </c>
      <c r="I190" t="s">
        <v>644</v>
      </c>
      <c r="J190" t="s">
        <v>694</v>
      </c>
      <c r="K190" t="s">
        <v>775</v>
      </c>
      <c r="L190" t="s">
        <v>33</v>
      </c>
      <c r="M190" s="10" t="s">
        <v>776</v>
      </c>
      <c r="N190" s="8" t="s">
        <v>896</v>
      </c>
      <c r="O190" s="3" t="s">
        <v>897</v>
      </c>
      <c r="Q190" t="s">
        <v>204</v>
      </c>
    </row>
    <row r="191" spans="1:17">
      <c r="A191" s="4" t="s">
        <v>66</v>
      </c>
      <c r="B191" t="s">
        <v>67</v>
      </c>
      <c r="D191" s="4" t="s">
        <v>898</v>
      </c>
      <c r="E191" s="9" t="s">
        <v>899</v>
      </c>
      <c r="F191" t="s">
        <v>795</v>
      </c>
      <c r="G191" s="13" t="s">
        <v>900</v>
      </c>
      <c r="H191" s="4">
        <v>5000</v>
      </c>
      <c r="I191" t="s">
        <v>901</v>
      </c>
      <c r="J191" t="s">
        <v>694</v>
      </c>
      <c r="K191" t="s">
        <v>695</v>
      </c>
      <c r="L191" t="s">
        <v>33</v>
      </c>
      <c r="M191" s="10" t="s">
        <v>610</v>
      </c>
      <c r="N191" s="8" t="s">
        <v>902</v>
      </c>
      <c r="O191" s="3" t="s">
        <v>903</v>
      </c>
      <c r="Q191" t="s">
        <v>204</v>
      </c>
    </row>
    <row r="192" spans="1:17">
      <c r="A192" s="4" t="s">
        <v>66</v>
      </c>
      <c r="B192" t="s">
        <v>67</v>
      </c>
      <c r="D192" s="4" t="s">
        <v>904</v>
      </c>
      <c r="E192" s="9"/>
      <c r="H192" s="4">
        <v>4000</v>
      </c>
      <c r="I192" t="s">
        <v>644</v>
      </c>
      <c r="J192" t="s">
        <v>694</v>
      </c>
      <c r="L192" t="s">
        <v>33</v>
      </c>
      <c r="M192" s="10" t="s">
        <v>776</v>
      </c>
      <c r="Q192" t="s">
        <v>204</v>
      </c>
    </row>
    <row r="193" spans="1:21">
      <c r="A193" s="4" t="s">
        <v>66</v>
      </c>
      <c r="B193" t="s">
        <v>139</v>
      </c>
      <c r="D193" s="4" t="s">
        <v>691</v>
      </c>
      <c r="E193" s="9" t="s">
        <v>905</v>
      </c>
      <c r="F193" t="s">
        <v>29</v>
      </c>
      <c r="G193" s="13">
        <v>3019860</v>
      </c>
      <c r="H193" s="4">
        <v>4000</v>
      </c>
      <c r="I193" t="s">
        <v>906</v>
      </c>
      <c r="J193" t="s">
        <v>729</v>
      </c>
      <c r="K193" t="s">
        <v>782</v>
      </c>
      <c r="L193" t="s">
        <v>33</v>
      </c>
      <c r="M193" s="10" t="s">
        <v>610</v>
      </c>
      <c r="N193" s="8" t="s">
        <v>907</v>
      </c>
      <c r="O193" s="3" t="s">
        <v>908</v>
      </c>
      <c r="Q193" t="s">
        <v>204</v>
      </c>
    </row>
    <row r="194" spans="1:21">
      <c r="A194" s="4" t="s">
        <v>66</v>
      </c>
      <c r="B194" t="s">
        <v>139</v>
      </c>
      <c r="D194" s="4" t="s">
        <v>909</v>
      </c>
      <c r="E194" s="9" t="s">
        <v>910</v>
      </c>
      <c r="F194" t="s">
        <v>85</v>
      </c>
      <c r="G194" s="13">
        <v>1355458</v>
      </c>
      <c r="H194" s="4">
        <v>100</v>
      </c>
      <c r="I194" t="s">
        <v>101</v>
      </c>
      <c r="J194" t="s">
        <v>911</v>
      </c>
      <c r="K194" t="s">
        <v>912</v>
      </c>
      <c r="L194" t="s">
        <v>33</v>
      </c>
      <c r="M194" t="s">
        <v>913</v>
      </c>
      <c r="N194" s="8" t="s">
        <v>914</v>
      </c>
      <c r="O194" s="3" t="s">
        <v>915</v>
      </c>
      <c r="Q194" t="s">
        <v>37</v>
      </c>
      <c r="R194" t="s">
        <v>38</v>
      </c>
      <c r="S194">
        <v>1</v>
      </c>
      <c r="T194">
        <v>12</v>
      </c>
      <c r="U194" s="5">
        <v>3</v>
      </c>
    </row>
    <row r="195" spans="1:21">
      <c r="A195" s="4" t="s">
        <v>66</v>
      </c>
      <c r="B195" t="s">
        <v>67</v>
      </c>
      <c r="D195" s="4" t="s">
        <v>691</v>
      </c>
      <c r="E195" s="9"/>
      <c r="F195" t="s">
        <v>272</v>
      </c>
      <c r="G195" s="13">
        <v>16922</v>
      </c>
      <c r="H195" s="4">
        <v>1</v>
      </c>
      <c r="I195" t="s">
        <v>200</v>
      </c>
      <c r="J195" t="s">
        <v>916</v>
      </c>
      <c r="K195" t="s">
        <v>917</v>
      </c>
      <c r="L195" t="s">
        <v>33</v>
      </c>
      <c r="M195" s="10" t="s">
        <v>51</v>
      </c>
      <c r="N195" s="4" t="s">
        <v>90</v>
      </c>
      <c r="O195" s="3" t="s">
        <v>918</v>
      </c>
      <c r="Q195" t="s">
        <v>204</v>
      </c>
    </row>
    <row r="196" spans="1:21">
      <c r="A196" s="4" t="s">
        <v>66</v>
      </c>
      <c r="B196" t="s">
        <v>67</v>
      </c>
      <c r="D196" s="4" t="s">
        <v>221</v>
      </c>
      <c r="E196" s="9" t="s">
        <v>919</v>
      </c>
      <c r="F196" t="s">
        <v>29</v>
      </c>
      <c r="G196" s="13">
        <v>3213384</v>
      </c>
      <c r="H196" s="4">
        <v>1</v>
      </c>
      <c r="I196" t="s">
        <v>200</v>
      </c>
      <c r="J196" t="s">
        <v>694</v>
      </c>
      <c r="K196" t="s">
        <v>920</v>
      </c>
      <c r="L196" t="s">
        <v>33</v>
      </c>
      <c r="M196" s="10" t="s">
        <v>610</v>
      </c>
      <c r="Q196" t="s">
        <v>204</v>
      </c>
    </row>
    <row r="197" spans="1:21">
      <c r="A197" s="4" t="s">
        <v>66</v>
      </c>
      <c r="B197" t="s">
        <v>139</v>
      </c>
      <c r="D197" s="4" t="s">
        <v>40</v>
      </c>
      <c r="E197" s="9" t="s">
        <v>921</v>
      </c>
      <c r="F197" t="s">
        <v>29</v>
      </c>
      <c r="G197" s="13">
        <v>9302727</v>
      </c>
      <c r="H197" s="4">
        <v>100</v>
      </c>
      <c r="I197" t="s">
        <v>101</v>
      </c>
      <c r="J197" t="s">
        <v>911</v>
      </c>
      <c r="K197" t="s">
        <v>782</v>
      </c>
      <c r="L197" t="s">
        <v>33</v>
      </c>
      <c r="M197" t="s">
        <v>922</v>
      </c>
      <c r="N197" s="8" t="s">
        <v>923</v>
      </c>
      <c r="O197" s="3" t="s">
        <v>924</v>
      </c>
      <c r="Q197" t="s">
        <v>37</v>
      </c>
      <c r="R197" t="s">
        <v>38</v>
      </c>
      <c r="S197">
        <v>1</v>
      </c>
      <c r="T197">
        <v>12</v>
      </c>
      <c r="U197" s="5">
        <v>4</v>
      </c>
    </row>
    <row r="198" spans="1:21">
      <c r="A198" s="4" t="s">
        <v>244</v>
      </c>
      <c r="B198" t="s">
        <v>314</v>
      </c>
      <c r="D198" s="4" t="s">
        <v>47</v>
      </c>
      <c r="E198" s="9" t="s">
        <v>925</v>
      </c>
      <c r="H198" s="4">
        <v>2</v>
      </c>
      <c r="I198" t="s">
        <v>200</v>
      </c>
      <c r="J198" t="s">
        <v>926</v>
      </c>
      <c r="L198" t="s">
        <v>33</v>
      </c>
      <c r="M198" t="s">
        <v>202</v>
      </c>
      <c r="N198" s="8" t="s">
        <v>927</v>
      </c>
      <c r="Q198" t="s">
        <v>204</v>
      </c>
    </row>
    <row r="199" spans="1:21">
      <c r="E199" s="9"/>
      <c r="G199" s="13">
        <v>1182</v>
      </c>
      <c r="H199" s="4">
        <v>7</v>
      </c>
      <c r="U199" s="5">
        <v>5</v>
      </c>
    </row>
    <row r="200" spans="1:21">
      <c r="D200" s="4" t="s">
        <v>337</v>
      </c>
      <c r="E200" s="9" t="s">
        <v>928</v>
      </c>
      <c r="H200" s="4">
        <v>10</v>
      </c>
    </row>
    <row r="201" spans="1:21">
      <c r="D201" s="4" t="s">
        <v>337</v>
      </c>
      <c r="E201" s="9" t="s">
        <v>929</v>
      </c>
      <c r="H201" s="4">
        <v>50</v>
      </c>
    </row>
    <row r="202" spans="1:21">
      <c r="D202" s="4" t="s">
        <v>337</v>
      </c>
      <c r="E202" s="9" t="s">
        <v>930</v>
      </c>
      <c r="H202" s="4">
        <v>7</v>
      </c>
    </row>
    <row r="203" spans="1:21">
      <c r="D203" s="4" t="s">
        <v>337</v>
      </c>
      <c r="E203" s="9" t="s">
        <v>931</v>
      </c>
      <c r="H203" s="4">
        <v>30</v>
      </c>
    </row>
    <row r="204" spans="1:21">
      <c r="D204" s="4" t="s">
        <v>337</v>
      </c>
      <c r="E204" s="9" t="s">
        <v>932</v>
      </c>
      <c r="H204" s="4">
        <v>14</v>
      </c>
    </row>
    <row r="205" spans="1:21">
      <c r="D205" s="4" t="s">
        <v>337</v>
      </c>
      <c r="E205" s="9" t="s">
        <v>933</v>
      </c>
      <c r="H205" s="4">
        <v>9</v>
      </c>
    </row>
    <row r="206" spans="1:21">
      <c r="D206" s="4" t="s">
        <v>337</v>
      </c>
      <c r="E206" s="9" t="s">
        <v>934</v>
      </c>
      <c r="H206" s="4">
        <v>14</v>
      </c>
    </row>
    <row r="207" spans="1:21">
      <c r="D207" s="4" t="s">
        <v>337</v>
      </c>
      <c r="E207" s="9" t="s">
        <v>935</v>
      </c>
      <c r="H207" s="4">
        <v>50</v>
      </c>
    </row>
    <row r="208" spans="1:21">
      <c r="D208" s="4" t="s">
        <v>337</v>
      </c>
      <c r="E208" s="9" t="s">
        <v>936</v>
      </c>
      <c r="H208" s="4">
        <v>8</v>
      </c>
    </row>
    <row r="209" spans="4:8">
      <c r="D209" s="4" t="s">
        <v>337</v>
      </c>
      <c r="E209" s="9" t="s">
        <v>937</v>
      </c>
      <c r="H209" s="4">
        <v>2</v>
      </c>
    </row>
    <row r="210" spans="4:8">
      <c r="D210" s="4" t="s">
        <v>337</v>
      </c>
      <c r="E210" s="9" t="s">
        <v>938</v>
      </c>
      <c r="H210" s="4">
        <v>12</v>
      </c>
    </row>
    <row r="211" spans="4:8">
      <c r="D211" s="4" t="s">
        <v>337</v>
      </c>
      <c r="E211" s="9" t="s">
        <v>939</v>
      </c>
      <c r="H211" s="4">
        <v>25</v>
      </c>
    </row>
    <row r="212" spans="4:8">
      <c r="E212" s="9"/>
    </row>
    <row r="213" spans="4:8">
      <c r="E213" s="9"/>
    </row>
    <row r="214" spans="4:8">
      <c r="E214" s="9"/>
    </row>
    <row r="215" spans="4:8">
      <c r="E215" s="9"/>
    </row>
    <row r="216" spans="4:8">
      <c r="E216" s="9"/>
    </row>
    <row r="217" spans="4:8">
      <c r="E217" s="9"/>
    </row>
    <row r="218" spans="4:8">
      <c r="E218" s="9"/>
    </row>
    <row r="219" spans="4:8">
      <c r="E219" s="9"/>
    </row>
    <row r="220" spans="4:8">
      <c r="E220" s="9"/>
    </row>
    <row r="221" spans="4:8">
      <c r="E221" s="9"/>
    </row>
    <row r="222" spans="4:8">
      <c r="E222" s="9"/>
    </row>
    <row r="223" spans="4:8">
      <c r="E223" s="9"/>
    </row>
    <row r="224" spans="4:8">
      <c r="E224" s="9"/>
    </row>
    <row r="225" spans="5:5">
      <c r="E225" s="9"/>
    </row>
    <row r="226" spans="5:5">
      <c r="E226" s="9"/>
    </row>
    <row r="227" spans="5:5">
      <c r="E227" s="9"/>
    </row>
    <row r="228" spans="5:5">
      <c r="E228" s="9"/>
    </row>
    <row r="229" spans="5:5">
      <c r="E229" s="9"/>
    </row>
    <row r="230" spans="5:5">
      <c r="E230" s="9"/>
    </row>
    <row r="231" spans="5:5">
      <c r="E231" s="9"/>
    </row>
    <row r="232" spans="5:5">
      <c r="E232" s="9"/>
    </row>
    <row r="233" spans="5:5">
      <c r="E233" s="9"/>
    </row>
    <row r="234" spans="5:5">
      <c r="E234" s="9"/>
    </row>
    <row r="235" spans="5:5">
      <c r="E235" s="9"/>
    </row>
    <row r="236" spans="5:5">
      <c r="E236" s="9"/>
    </row>
    <row r="237" spans="5:5">
      <c r="E237" s="9"/>
    </row>
    <row r="238" spans="5:5">
      <c r="E238" s="9"/>
    </row>
    <row r="239" spans="5:5">
      <c r="E239" s="9"/>
    </row>
    <row r="240" spans="5:5">
      <c r="E240" s="9"/>
    </row>
    <row r="241" spans="5:5">
      <c r="E241" s="9"/>
    </row>
    <row r="242" spans="5:5">
      <c r="E242" s="9"/>
    </row>
    <row r="243" spans="5:5">
      <c r="E243" s="9"/>
    </row>
    <row r="244" spans="5:5">
      <c r="E244" s="9"/>
    </row>
    <row r="245" spans="5:5">
      <c r="E245" s="9"/>
    </row>
    <row r="246" spans="5:5">
      <c r="E246" s="9"/>
    </row>
    <row r="247" spans="5:5">
      <c r="E247" s="9"/>
    </row>
    <row r="248" spans="5:5">
      <c r="E248" s="9"/>
    </row>
    <row r="249" spans="5:5">
      <c r="E249" s="9"/>
    </row>
    <row r="250" spans="5:5">
      <c r="E250" s="9"/>
    </row>
    <row r="251" spans="5:5">
      <c r="E251" s="9"/>
    </row>
    <row r="252" spans="5:5">
      <c r="E252" s="9"/>
    </row>
    <row r="253" spans="5:5">
      <c r="E253" s="9"/>
    </row>
    <row r="254" spans="5:5">
      <c r="E254" s="9"/>
    </row>
    <row r="255" spans="5:5">
      <c r="E255" s="9"/>
    </row>
    <row r="256" spans="5:5">
      <c r="E256" s="9"/>
    </row>
    <row r="257" spans="5:5">
      <c r="E257" s="9"/>
    </row>
    <row r="258" spans="5:5">
      <c r="E258" s="9"/>
    </row>
    <row r="259" spans="5:5">
      <c r="E259" s="9"/>
    </row>
    <row r="260" spans="5:5">
      <c r="E260" s="9"/>
    </row>
    <row r="261" spans="5:5">
      <c r="E261" s="9"/>
    </row>
    <row r="262" spans="5:5">
      <c r="E262" s="9"/>
    </row>
    <row r="263" spans="5:5">
      <c r="E263" s="9"/>
    </row>
    <row r="264" spans="5:5">
      <c r="E264" s="9"/>
    </row>
    <row r="265" spans="5:5">
      <c r="E265" s="9"/>
    </row>
    <row r="266" spans="5:5">
      <c r="E266" s="9"/>
    </row>
    <row r="267" spans="5:5">
      <c r="E267" s="9"/>
    </row>
    <row r="268" spans="5:5">
      <c r="E268" s="9"/>
    </row>
    <row r="269" spans="5:5">
      <c r="E269" s="9"/>
    </row>
    <row r="270" spans="5:5">
      <c r="E270" s="9"/>
    </row>
    <row r="271" spans="5:5">
      <c r="E271" s="9"/>
    </row>
    <row r="272" spans="5:5">
      <c r="E272" s="9"/>
    </row>
    <row r="273" spans="5:5">
      <c r="E273" s="9"/>
    </row>
    <row r="274" spans="5:5">
      <c r="E274" s="9"/>
    </row>
    <row r="275" spans="5:5">
      <c r="E275" s="9"/>
    </row>
    <row r="276" spans="5:5">
      <c r="E276" s="9"/>
    </row>
    <row r="277" spans="5:5">
      <c r="E277" s="9"/>
    </row>
    <row r="278" spans="5:5">
      <c r="E278" s="9"/>
    </row>
    <row r="279" spans="5:5">
      <c r="E279" s="9"/>
    </row>
    <row r="280" spans="5:5">
      <c r="E280" s="9"/>
    </row>
    <row r="281" spans="5:5">
      <c r="E281" s="9"/>
    </row>
    <row r="282" spans="5:5">
      <c r="E282" s="9"/>
    </row>
    <row r="283" spans="5:5">
      <c r="E283" s="9"/>
    </row>
    <row r="284" spans="5:5">
      <c r="E284" s="9"/>
    </row>
    <row r="285" spans="5:5">
      <c r="E285" s="9"/>
    </row>
    <row r="286" spans="5:5">
      <c r="E286" s="9"/>
    </row>
    <row r="287" spans="5:5">
      <c r="E287" s="9"/>
    </row>
    <row r="288" spans="5:5">
      <c r="E288" s="9"/>
    </row>
    <row r="289" spans="5:5">
      <c r="E289" s="9"/>
    </row>
    <row r="290" spans="5:5">
      <c r="E290" s="9"/>
    </row>
    <row r="291" spans="5:5">
      <c r="E291" s="9"/>
    </row>
    <row r="292" spans="5:5">
      <c r="E292" s="9"/>
    </row>
    <row r="293" spans="5:5">
      <c r="E293" s="9"/>
    </row>
    <row r="294" spans="5:5">
      <c r="E294" s="9"/>
    </row>
    <row r="295" spans="5:5">
      <c r="E295" s="9"/>
    </row>
    <row r="296" spans="5:5">
      <c r="E296" s="9"/>
    </row>
    <row r="297" spans="5:5">
      <c r="E297" s="9"/>
    </row>
    <row r="298" spans="5:5">
      <c r="E298" s="9"/>
    </row>
    <row r="299" spans="5:5">
      <c r="E299" s="9"/>
    </row>
    <row r="300" spans="5:5">
      <c r="E300" s="9"/>
    </row>
    <row r="301" spans="5:5">
      <c r="E301" s="9"/>
    </row>
    <row r="302" spans="5:5">
      <c r="E302" s="9"/>
    </row>
    <row r="303" spans="5:5">
      <c r="E303" s="9"/>
    </row>
    <row r="304" spans="5:5">
      <c r="E304" s="9"/>
    </row>
    <row r="305" spans="5:5">
      <c r="E305" s="9"/>
    </row>
    <row r="306" spans="5:5">
      <c r="E306" s="9"/>
    </row>
    <row r="307" spans="5:5">
      <c r="E307" s="9"/>
    </row>
    <row r="308" spans="5:5">
      <c r="E308" s="9"/>
    </row>
    <row r="309" spans="5:5">
      <c r="E309" s="9"/>
    </row>
    <row r="310" spans="5:5">
      <c r="E310" s="9"/>
    </row>
    <row r="311" spans="5:5">
      <c r="E311" s="9"/>
    </row>
    <row r="312" spans="5:5">
      <c r="E312" s="9"/>
    </row>
    <row r="313" spans="5:5">
      <c r="E313" s="9"/>
    </row>
    <row r="314" spans="5:5">
      <c r="E314" s="9"/>
    </row>
    <row r="315" spans="5:5">
      <c r="E315" s="9"/>
    </row>
    <row r="316" spans="5:5">
      <c r="E316" s="9"/>
    </row>
    <row r="317" spans="5:5">
      <c r="E317" s="9"/>
    </row>
    <row r="318" spans="5:5">
      <c r="E318" s="9"/>
    </row>
    <row r="319" spans="5:5">
      <c r="E319" s="9"/>
    </row>
    <row r="320" spans="5:5">
      <c r="E320" s="9"/>
    </row>
    <row r="321" spans="5:5">
      <c r="E321" s="9"/>
    </row>
    <row r="322" spans="5:5">
      <c r="E322" s="9"/>
    </row>
    <row r="323" spans="5:5">
      <c r="E323" s="9"/>
    </row>
    <row r="324" spans="5:5">
      <c r="E324" s="9"/>
    </row>
    <row r="325" spans="5:5">
      <c r="E325" s="9"/>
    </row>
    <row r="326" spans="5:5">
      <c r="E326" s="9"/>
    </row>
    <row r="327" spans="5:5">
      <c r="E327" s="9"/>
    </row>
    <row r="328" spans="5:5">
      <c r="E328" s="9"/>
    </row>
    <row r="329" spans="5:5">
      <c r="E329" s="9"/>
    </row>
    <row r="330" spans="5:5">
      <c r="E330" s="9"/>
    </row>
    <row r="331" spans="5:5">
      <c r="E331" s="9"/>
    </row>
    <row r="332" spans="5:5">
      <c r="E332" s="9"/>
    </row>
    <row r="333" spans="5:5">
      <c r="E333" s="9"/>
    </row>
    <row r="334" spans="5:5">
      <c r="E334" s="9"/>
    </row>
    <row r="335" spans="5:5">
      <c r="E335" s="9"/>
    </row>
    <row r="336" spans="5:5">
      <c r="E336" s="9"/>
    </row>
    <row r="337" spans="5:5">
      <c r="E337" s="9"/>
    </row>
    <row r="338" spans="5:5">
      <c r="E338" s="9"/>
    </row>
    <row r="339" spans="5:5">
      <c r="E339" s="9"/>
    </row>
    <row r="340" spans="5:5">
      <c r="E340" s="9"/>
    </row>
    <row r="341" spans="5:5">
      <c r="E341" s="9"/>
    </row>
    <row r="342" spans="5:5">
      <c r="E342" s="9"/>
    </row>
    <row r="343" spans="5:5">
      <c r="E343" s="9"/>
    </row>
    <row r="344" spans="5:5">
      <c r="E344" s="9"/>
    </row>
    <row r="345" spans="5:5">
      <c r="E345" s="9"/>
    </row>
    <row r="346" spans="5:5">
      <c r="E346" s="9"/>
    </row>
    <row r="347" spans="5:5">
      <c r="E347" s="9"/>
    </row>
    <row r="348" spans="5:5">
      <c r="E348" s="9"/>
    </row>
    <row r="349" spans="5:5">
      <c r="E349" s="9"/>
    </row>
    <row r="350" spans="5:5">
      <c r="E350" s="9"/>
    </row>
    <row r="351" spans="5:5">
      <c r="E351" s="9"/>
    </row>
    <row r="352" spans="5:5">
      <c r="E352" s="9"/>
    </row>
    <row r="353" spans="5:5">
      <c r="E353" s="9"/>
    </row>
    <row r="354" spans="5:5">
      <c r="E354" s="9"/>
    </row>
    <row r="355" spans="5:5">
      <c r="E355" s="9"/>
    </row>
    <row r="356" spans="5:5">
      <c r="E356" s="9"/>
    </row>
    <row r="357" spans="5:5">
      <c r="E357" s="9"/>
    </row>
    <row r="358" spans="5:5">
      <c r="E358" s="9"/>
    </row>
    <row r="359" spans="5:5">
      <c r="E359" s="9"/>
    </row>
    <row r="360" spans="5:5">
      <c r="E360" s="9"/>
    </row>
    <row r="361" spans="5:5">
      <c r="E361" s="9"/>
    </row>
    <row r="362" spans="5:5">
      <c r="E362" s="9"/>
    </row>
    <row r="363" spans="5:5">
      <c r="E363" s="9"/>
    </row>
    <row r="364" spans="5:5">
      <c r="E364" s="9"/>
    </row>
    <row r="365" spans="5:5">
      <c r="E365" s="9"/>
    </row>
    <row r="366" spans="5:5">
      <c r="E366" s="9"/>
    </row>
    <row r="367" spans="5:5">
      <c r="E367" s="9"/>
    </row>
    <row r="368" spans="5:5">
      <c r="E368" s="9"/>
    </row>
    <row r="369" spans="5:5">
      <c r="E369" s="9"/>
    </row>
    <row r="370" spans="5:5">
      <c r="E370" s="9"/>
    </row>
    <row r="371" spans="5:5">
      <c r="E371" s="9"/>
    </row>
    <row r="372" spans="5:5">
      <c r="E372" s="9"/>
    </row>
    <row r="373" spans="5:5">
      <c r="E373" s="9"/>
    </row>
    <row r="374" spans="5:5">
      <c r="E374" s="9"/>
    </row>
    <row r="375" spans="5:5">
      <c r="E375" s="9"/>
    </row>
    <row r="376" spans="5:5">
      <c r="E376" s="9"/>
    </row>
    <row r="377" spans="5:5">
      <c r="E377" s="9"/>
    </row>
    <row r="378" spans="5:5">
      <c r="E378" s="9"/>
    </row>
    <row r="379" spans="5:5">
      <c r="E379" s="9"/>
    </row>
    <row r="380" spans="5:5">
      <c r="E380" s="9"/>
    </row>
    <row r="381" spans="5:5">
      <c r="E381" s="9"/>
    </row>
    <row r="382" spans="5:5">
      <c r="E382" s="9"/>
    </row>
    <row r="383" spans="5:5">
      <c r="E383" s="9"/>
    </row>
    <row r="384" spans="5:5">
      <c r="E384" s="9"/>
    </row>
    <row r="385" spans="5:5">
      <c r="E385" s="9"/>
    </row>
    <row r="386" spans="5:5">
      <c r="E386" s="9"/>
    </row>
    <row r="387" spans="5:5">
      <c r="E387" s="9"/>
    </row>
    <row r="388" spans="5:5">
      <c r="E388" s="9"/>
    </row>
    <row r="389" spans="5:5">
      <c r="E389" s="9"/>
    </row>
    <row r="390" spans="5:5">
      <c r="E390" s="9"/>
    </row>
    <row r="391" spans="5:5">
      <c r="E391" s="9"/>
    </row>
    <row r="392" spans="5:5">
      <c r="E392" s="9"/>
    </row>
    <row r="393" spans="5:5">
      <c r="E393" s="9"/>
    </row>
    <row r="394" spans="5:5">
      <c r="E394" s="9"/>
    </row>
    <row r="395" spans="5:5">
      <c r="E395" s="9"/>
    </row>
    <row r="396" spans="5:5">
      <c r="E396" s="9"/>
    </row>
    <row r="397" spans="5:5">
      <c r="E397" s="9"/>
    </row>
    <row r="398" spans="5:5">
      <c r="E398" s="9"/>
    </row>
    <row r="399" spans="5:5">
      <c r="E399" s="9"/>
    </row>
    <row r="400" spans="5:5">
      <c r="E400" s="9"/>
    </row>
    <row r="401" spans="5:5">
      <c r="E401" s="9"/>
    </row>
    <row r="402" spans="5:5">
      <c r="E402" s="9"/>
    </row>
    <row r="403" spans="5:5">
      <c r="E403" s="9"/>
    </row>
    <row r="404" spans="5:5">
      <c r="E404" s="9"/>
    </row>
    <row r="405" spans="5:5">
      <c r="E405" s="9"/>
    </row>
    <row r="406" spans="5:5">
      <c r="E406" s="9"/>
    </row>
    <row r="407" spans="5:5">
      <c r="E407" s="9"/>
    </row>
    <row r="408" spans="5:5">
      <c r="E408" s="9"/>
    </row>
    <row r="409" spans="5:5">
      <c r="E409" s="9"/>
    </row>
    <row r="410" spans="5:5">
      <c r="E410" s="9"/>
    </row>
    <row r="411" spans="5:5">
      <c r="E411" s="9"/>
    </row>
    <row r="412" spans="5:5">
      <c r="E412" s="9"/>
    </row>
    <row r="413" spans="5:5">
      <c r="E413" s="9"/>
    </row>
    <row r="414" spans="5:5">
      <c r="E414" s="9"/>
    </row>
    <row r="415" spans="5:5">
      <c r="E415" s="9"/>
    </row>
    <row r="416" spans="5:5">
      <c r="E416" s="9"/>
    </row>
    <row r="417" spans="5:5">
      <c r="E417" s="9"/>
    </row>
    <row r="418" spans="5:5">
      <c r="E418" s="9"/>
    </row>
    <row r="419" spans="5:5">
      <c r="E419" s="9"/>
    </row>
    <row r="420" spans="5:5">
      <c r="E420" s="9"/>
    </row>
    <row r="421" spans="5:5">
      <c r="E421" s="9"/>
    </row>
    <row r="422" spans="5:5">
      <c r="E422" s="9"/>
    </row>
    <row r="423" spans="5:5">
      <c r="E423" s="9"/>
    </row>
    <row r="424" spans="5:5">
      <c r="E424" s="9"/>
    </row>
    <row r="425" spans="5:5">
      <c r="E425" s="9"/>
    </row>
    <row r="426" spans="5:5">
      <c r="E426" s="9"/>
    </row>
    <row r="427" spans="5:5">
      <c r="E427" s="9"/>
    </row>
    <row r="428" spans="5:5">
      <c r="E428" s="9"/>
    </row>
    <row r="429" spans="5:5">
      <c r="E429" s="9"/>
    </row>
    <row r="430" spans="5:5">
      <c r="E430" s="9"/>
    </row>
    <row r="431" spans="5:5">
      <c r="E431" s="9"/>
    </row>
    <row r="432" spans="5:5">
      <c r="E432" s="9"/>
    </row>
    <row r="433" spans="5:5">
      <c r="E433" s="9"/>
    </row>
    <row r="434" spans="5:5">
      <c r="E434" s="9"/>
    </row>
    <row r="435" spans="5:5">
      <c r="E435" s="9"/>
    </row>
    <row r="436" spans="5:5">
      <c r="E436" s="9"/>
    </row>
    <row r="437" spans="5:5">
      <c r="E437" s="9"/>
    </row>
    <row r="438" spans="5:5">
      <c r="E438" s="9"/>
    </row>
    <row r="439" spans="5:5">
      <c r="E439" s="9"/>
    </row>
    <row r="440" spans="5:5">
      <c r="E440" s="9"/>
    </row>
    <row r="441" spans="5:5">
      <c r="E441" s="9"/>
    </row>
    <row r="442" spans="5:5">
      <c r="E442" s="9"/>
    </row>
    <row r="443" spans="5:5">
      <c r="E443" s="9"/>
    </row>
    <row r="444" spans="5:5">
      <c r="E444" s="9"/>
    </row>
    <row r="445" spans="5:5">
      <c r="E445" s="9"/>
    </row>
    <row r="446" spans="5:5">
      <c r="E446" s="9"/>
    </row>
    <row r="447" spans="5:5">
      <c r="E447" s="9"/>
    </row>
    <row r="448" spans="5:5">
      <c r="E448" s="9"/>
    </row>
    <row r="449" spans="5:5">
      <c r="E449" s="9"/>
    </row>
    <row r="450" spans="5:5">
      <c r="E450" s="9"/>
    </row>
    <row r="451" spans="5:5">
      <c r="E451" s="9"/>
    </row>
    <row r="452" spans="5:5">
      <c r="E452" s="9"/>
    </row>
    <row r="453" spans="5:5">
      <c r="E453" s="9"/>
    </row>
    <row r="454" spans="5:5">
      <c r="E454" s="9"/>
    </row>
    <row r="455" spans="5:5">
      <c r="E455" s="9"/>
    </row>
    <row r="456" spans="5:5">
      <c r="E456" s="9"/>
    </row>
    <row r="457" spans="5:5">
      <c r="E457" s="9"/>
    </row>
    <row r="458" spans="5:5">
      <c r="E458" s="9"/>
    </row>
    <row r="459" spans="5:5">
      <c r="E459" s="9"/>
    </row>
    <row r="460" spans="5:5">
      <c r="E460" s="9"/>
    </row>
    <row r="461" spans="5:5">
      <c r="E461" s="9"/>
    </row>
    <row r="462" spans="5:5">
      <c r="E462" s="9"/>
    </row>
    <row r="463" spans="5:5">
      <c r="E463" s="9"/>
    </row>
    <row r="464" spans="5:5">
      <c r="E464" s="9"/>
    </row>
    <row r="465" spans="5:5">
      <c r="E465" s="9"/>
    </row>
    <row r="466" spans="5:5">
      <c r="E466" s="9"/>
    </row>
    <row r="467" spans="5:5">
      <c r="E467" s="9"/>
    </row>
    <row r="468" spans="5:5">
      <c r="E468" s="9"/>
    </row>
    <row r="469" spans="5:5">
      <c r="E469" s="9"/>
    </row>
    <row r="470" spans="5:5">
      <c r="E470" s="9"/>
    </row>
    <row r="471" spans="5:5">
      <c r="E471" s="9"/>
    </row>
    <row r="472" spans="5:5">
      <c r="E472" s="9"/>
    </row>
    <row r="473" spans="5:5">
      <c r="E473" s="9"/>
    </row>
    <row r="474" spans="5:5">
      <c r="E474" s="9"/>
    </row>
    <row r="475" spans="5:5">
      <c r="E475" s="9"/>
    </row>
    <row r="476" spans="5:5">
      <c r="E476" s="9"/>
    </row>
    <row r="477" spans="5:5">
      <c r="E477" s="9"/>
    </row>
    <row r="478" spans="5:5">
      <c r="E478" s="9"/>
    </row>
    <row r="479" spans="5:5">
      <c r="E479" s="9"/>
    </row>
    <row r="480" spans="5:5">
      <c r="E480" s="9"/>
    </row>
    <row r="481" spans="5:5">
      <c r="E481" s="9"/>
    </row>
    <row r="482" spans="5:5">
      <c r="E482" s="9"/>
    </row>
    <row r="483" spans="5:5">
      <c r="E483" s="9"/>
    </row>
    <row r="484" spans="5:5">
      <c r="E484" s="9"/>
    </row>
    <row r="485" spans="5:5">
      <c r="E485" s="9"/>
    </row>
    <row r="486" spans="5:5">
      <c r="E486" s="9"/>
    </row>
    <row r="487" spans="5:5">
      <c r="E487" s="9"/>
    </row>
    <row r="488" spans="5:5">
      <c r="E488" s="9"/>
    </row>
    <row r="489" spans="5:5">
      <c r="E489" s="9"/>
    </row>
    <row r="490" spans="5:5">
      <c r="E490" s="9"/>
    </row>
    <row r="491" spans="5:5">
      <c r="E491" s="9"/>
    </row>
    <row r="492" spans="5:5">
      <c r="E492" s="9"/>
    </row>
    <row r="493" spans="5:5">
      <c r="E493" s="9"/>
    </row>
    <row r="494" spans="5:5">
      <c r="E494" s="9"/>
    </row>
    <row r="495" spans="5:5">
      <c r="E495" s="9"/>
    </row>
    <row r="496" spans="5:5">
      <c r="E496" s="9"/>
    </row>
    <row r="497" spans="5:5">
      <c r="E497" s="9"/>
    </row>
    <row r="498" spans="5:5">
      <c r="E498" s="9"/>
    </row>
    <row r="499" spans="5:5">
      <c r="E499" s="9"/>
    </row>
    <row r="500" spans="5:5">
      <c r="E500" s="9"/>
    </row>
    <row r="501" spans="5:5">
      <c r="E501" s="9"/>
    </row>
    <row r="502" spans="5:5">
      <c r="E502" s="9"/>
    </row>
    <row r="503" spans="5:5">
      <c r="E503" s="9"/>
    </row>
    <row r="504" spans="5:5">
      <c r="E504" s="9"/>
    </row>
    <row r="505" spans="5:5">
      <c r="E505" s="9"/>
    </row>
    <row r="506" spans="5:5">
      <c r="E506" s="9"/>
    </row>
    <row r="507" spans="5:5">
      <c r="E507" s="9"/>
    </row>
    <row r="508" spans="5:5">
      <c r="E508" s="9"/>
    </row>
    <row r="509" spans="5:5">
      <c r="E509" s="9"/>
    </row>
    <row r="510" spans="5:5">
      <c r="E510" s="9"/>
    </row>
    <row r="511" spans="5:5">
      <c r="E511" s="9"/>
    </row>
    <row r="512" spans="5:5">
      <c r="E512" s="9"/>
    </row>
    <row r="513" spans="5:5">
      <c r="E513" s="9"/>
    </row>
    <row r="514" spans="5:5">
      <c r="E514" s="9"/>
    </row>
    <row r="515" spans="5:5">
      <c r="E515" s="9"/>
    </row>
    <row r="516" spans="5:5">
      <c r="E516" s="9"/>
    </row>
    <row r="517" spans="5:5">
      <c r="E517" s="9"/>
    </row>
    <row r="518" spans="5:5">
      <c r="E518" s="9"/>
    </row>
    <row r="519" spans="5:5">
      <c r="E519" s="9"/>
    </row>
    <row r="520" spans="5:5">
      <c r="E520" s="9"/>
    </row>
    <row r="521" spans="5:5">
      <c r="E521" s="9"/>
    </row>
    <row r="522" spans="5:5">
      <c r="E522" s="9"/>
    </row>
    <row r="523" spans="5:5">
      <c r="E523" s="9"/>
    </row>
    <row r="524" spans="5:5">
      <c r="E524" s="9"/>
    </row>
    <row r="525" spans="5:5">
      <c r="E525" s="9"/>
    </row>
    <row r="526" spans="5:5">
      <c r="E526" s="9"/>
    </row>
    <row r="527" spans="5:5">
      <c r="E527" s="9"/>
    </row>
    <row r="528" spans="5:5">
      <c r="E528" s="9"/>
    </row>
    <row r="529" spans="5:5">
      <c r="E529" s="9"/>
    </row>
    <row r="530" spans="5:5">
      <c r="E530" s="9"/>
    </row>
    <row r="531" spans="5:5">
      <c r="E531" s="9"/>
    </row>
    <row r="532" spans="5:5">
      <c r="E532" s="9"/>
    </row>
    <row r="533" spans="5:5">
      <c r="E533" s="9"/>
    </row>
    <row r="534" spans="5:5">
      <c r="E534" s="9"/>
    </row>
    <row r="535" spans="5:5">
      <c r="E535" s="9"/>
    </row>
    <row r="536" spans="5:5">
      <c r="E536" s="9"/>
    </row>
    <row r="537" spans="5:5">
      <c r="E537" s="9"/>
    </row>
    <row r="538" spans="5:5">
      <c r="E538" s="9"/>
    </row>
    <row r="539" spans="5:5">
      <c r="E539" s="9"/>
    </row>
    <row r="540" spans="5:5">
      <c r="E540" s="9"/>
    </row>
    <row r="541" spans="5:5">
      <c r="E541" s="9"/>
    </row>
    <row r="542" spans="5:5">
      <c r="E542" s="9"/>
    </row>
    <row r="543" spans="5:5">
      <c r="E543" s="9"/>
    </row>
    <row r="544" spans="5:5">
      <c r="E544" s="9"/>
    </row>
    <row r="545" spans="5:5">
      <c r="E545" s="9"/>
    </row>
    <row r="546" spans="5:5">
      <c r="E546" s="9"/>
    </row>
    <row r="547" spans="5:5">
      <c r="E547" s="9"/>
    </row>
    <row r="548" spans="5:5">
      <c r="E548" s="9"/>
    </row>
    <row r="549" spans="5:5">
      <c r="E549" s="9"/>
    </row>
    <row r="550" spans="5:5">
      <c r="E550" s="9"/>
    </row>
    <row r="551" spans="5:5">
      <c r="E551" s="9"/>
    </row>
    <row r="552" spans="5:5">
      <c r="E552" s="9"/>
    </row>
    <row r="553" spans="5:5">
      <c r="E553" s="9"/>
    </row>
    <row r="554" spans="5:5">
      <c r="E554" s="9"/>
    </row>
    <row r="555" spans="5:5">
      <c r="E555" s="9"/>
    </row>
    <row r="556" spans="5:5">
      <c r="E556" s="9"/>
    </row>
    <row r="557" spans="5:5">
      <c r="E557" s="9"/>
    </row>
    <row r="558" spans="5:5">
      <c r="E558" s="9"/>
    </row>
    <row r="559" spans="5:5">
      <c r="E559" s="9"/>
    </row>
    <row r="560" spans="5:5">
      <c r="E560" s="9"/>
    </row>
    <row r="561" spans="5:5">
      <c r="E561" s="9"/>
    </row>
    <row r="562" spans="5:5">
      <c r="E562" s="9"/>
    </row>
    <row r="563" spans="5:5">
      <c r="E563" s="9"/>
    </row>
    <row r="564" spans="5:5">
      <c r="E564" s="9"/>
    </row>
    <row r="565" spans="5:5">
      <c r="E565" s="9"/>
    </row>
    <row r="566" spans="5:5">
      <c r="E566" s="9"/>
    </row>
    <row r="567" spans="5:5">
      <c r="E567" s="9"/>
    </row>
    <row r="568" spans="5:5">
      <c r="E568" s="9"/>
    </row>
    <row r="569" spans="5:5">
      <c r="E569" s="9"/>
    </row>
    <row r="570" spans="5:5">
      <c r="E570" s="9"/>
    </row>
    <row r="571" spans="5:5">
      <c r="E571" s="9"/>
    </row>
    <row r="572" spans="5:5">
      <c r="E572" s="9"/>
    </row>
    <row r="573" spans="5:5">
      <c r="E573" s="9"/>
    </row>
    <row r="574" spans="5:5">
      <c r="E574" s="9"/>
    </row>
    <row r="575" spans="5:5">
      <c r="E575" s="9"/>
    </row>
    <row r="576" spans="5:5">
      <c r="E576" s="9"/>
    </row>
    <row r="577" spans="5:5">
      <c r="E577" s="9"/>
    </row>
    <row r="578" spans="5:5">
      <c r="E578" s="9"/>
    </row>
    <row r="579" spans="5:5">
      <c r="E579" s="9"/>
    </row>
    <row r="580" spans="5:5">
      <c r="E580" s="9"/>
    </row>
    <row r="581" spans="5:5">
      <c r="E581" s="9"/>
    </row>
    <row r="582" spans="5:5">
      <c r="E582" s="9"/>
    </row>
    <row r="583" spans="5:5">
      <c r="E583" s="9"/>
    </row>
    <row r="584" spans="5:5">
      <c r="E584" s="9"/>
    </row>
    <row r="585" spans="5:5">
      <c r="E585" s="9"/>
    </row>
    <row r="586" spans="5:5">
      <c r="E586" s="9"/>
    </row>
    <row r="587" spans="5:5">
      <c r="E587" s="9"/>
    </row>
    <row r="588" spans="5:5">
      <c r="E588" s="9"/>
    </row>
    <row r="589" spans="5:5">
      <c r="E589" s="9"/>
    </row>
    <row r="590" spans="5:5">
      <c r="E590" s="9"/>
    </row>
    <row r="591" spans="5:5">
      <c r="E591" s="9"/>
    </row>
    <row r="592" spans="5:5">
      <c r="E592" s="9"/>
    </row>
  </sheetData>
  <mergeCells count="5">
    <mergeCell ref="A1:C1"/>
    <mergeCell ref="D1:G1"/>
    <mergeCell ref="Q1:U1"/>
    <mergeCell ref="N1:P1"/>
    <mergeCell ref="H1:M1"/>
  </mergeCells>
  <dataValidations count="6">
    <dataValidation allowBlank="1" showInputMessage="1" showErrorMessage="1" sqref="C70:C549" xr:uid="{00000000-0002-0000-0000-000000000000}">
      <formula1>0</formula1>
      <formula2>0</formula2>
    </dataValidation>
    <dataValidation type="list" allowBlank="1" showInputMessage="1" showErrorMessage="1" sqref="B500:B549" xr:uid="{00000000-0002-0000-0000-000002000000}">
      <formula1>INDIRECT("table_subcategories[name]")</formula1>
      <formula2>0</formula2>
    </dataValidation>
    <dataValidation type="list" allowBlank="1" showInputMessage="1" showErrorMessage="1" sqref="A3:A549" xr:uid="{00000000-0002-0000-0000-000001000000}">
      <formula1>INDIRECT("table_categories[name]")</formula1>
      <formula2>0</formula2>
    </dataValidation>
    <dataValidation type="list" allowBlank="1" showInputMessage="1" showErrorMessage="1" sqref="C3:C69 B3:B499" xr:uid="{00000000-0002-0000-0000-000003000000}">
      <formula1>INDIRECT(A3)</formula1>
      <formula2>0</formula2>
    </dataValidation>
    <dataValidation type="list" allowBlank="1" showInputMessage="1" showErrorMessage="1" sqref="D3:D1048576" xr:uid="{C6951917-543D-44AB-960E-9D119392C6E8}">
      <formula1>INDIRECT("table_manufacturer[name]")</formula1>
    </dataValidation>
    <dataValidation type="list" allowBlank="1" showInputMessage="1" showErrorMessage="1" sqref="F3:F1048576" xr:uid="{C9B377EF-464F-424A-AA37-8E822D78A2CE}">
      <formula1>INDIRECT("table_supplier[name]")</formula1>
    </dataValidation>
  </dataValidations>
  <hyperlinks>
    <hyperlink ref="N16" r:id="rId1" xr:uid="{7E441F01-3038-4D5F-A4E5-CF1DD0E7040E}"/>
    <hyperlink ref="O14" r:id="rId2" xr:uid="{742C20D7-D12F-4EF9-A5CB-4121204DA748}"/>
    <hyperlink ref="O11" r:id="rId3" xr:uid="{93E32B3C-465D-4313-B651-A7A8CE55FA59}"/>
    <hyperlink ref="O12" r:id="rId4" xr:uid="{12CE7250-761E-4A3F-A4A1-236A3FBEC563}"/>
    <hyperlink ref="O10" r:id="rId5" xr:uid="{0645476A-CA93-433E-8179-69730E9AD44C}"/>
    <hyperlink ref="O85" r:id="rId6" xr:uid="{4BC987C1-6933-4967-B3BA-53351D398D62}"/>
    <hyperlink ref="O84" r:id="rId7" xr:uid="{16ED1DE5-1D81-4BAA-9D36-09B456E2A628}"/>
    <hyperlink ref="O90" r:id="rId8" xr:uid="{1339031F-9FDF-4BAC-BFC9-48344D4137F8}"/>
    <hyperlink ref="O81" r:id="rId9" xr:uid="{7E089CBE-793E-4CAE-9FCA-F8BBB67BB179}"/>
    <hyperlink ref="O80" r:id="rId10" xr:uid="{3168BFB9-E423-4A3E-8AC5-DCED7F2EA6A4}"/>
    <hyperlink ref="O77" r:id="rId11" xr:uid="{89E7280A-F5B7-463B-96C2-1411367B0CCF}"/>
    <hyperlink ref="O78" r:id="rId12" xr:uid="{4FD8B510-3551-4C5F-940F-4C694557D4D0}"/>
    <hyperlink ref="O46" r:id="rId13" xr:uid="{E87E28DE-3D70-420C-A2CA-B3F63D13B552}"/>
    <hyperlink ref="O43" r:id="rId14" xr:uid="{D22B9446-6EFF-474D-B943-7D5BAB4EE47E}"/>
    <hyperlink ref="O44" r:id="rId15" xr:uid="{0F837371-8E05-4D15-B729-1631F61BB421}"/>
    <hyperlink ref="O82" r:id="rId16" xr:uid="{3A026527-1E7D-4F2C-A708-23A7EE9156DC}"/>
    <hyperlink ref="O52" r:id="rId17" xr:uid="{C790B968-EC82-4494-A7FA-A88A3144FEC8}"/>
    <hyperlink ref="O59" r:id="rId18" xr:uid="{ED6C853F-9583-43FF-9CE6-70B1D81AF01A}"/>
    <hyperlink ref="O58" r:id="rId19" xr:uid="{C79DDB93-E220-4D38-9B01-43936C911C30}"/>
    <hyperlink ref="O64" r:id="rId20" xr:uid="{43BE9A20-9553-4492-9D23-207B051BD300}"/>
    <hyperlink ref="O63" r:id="rId21" xr:uid="{1D111EA5-08B5-4C9F-8A9A-FCA8B43F13C2}"/>
    <hyperlink ref="O60" r:id="rId22" xr:uid="{AB625BAD-69D2-4111-9899-BF504E6A3A8D}"/>
    <hyperlink ref="O97" r:id="rId23" xr:uid="{93A18AF3-E05F-4631-B8A3-0390AC84092E}"/>
    <hyperlink ref="O98" r:id="rId24" xr:uid="{F1D3DE4B-26B5-4206-BB9C-F93CCAA242E5}"/>
    <hyperlink ref="O99" r:id="rId25" xr:uid="{94A67800-D19C-4999-8AE5-025A949B2694}"/>
    <hyperlink ref="O61" r:id="rId26" xr:uid="{A27F4563-76C7-4B8F-9F53-4F92106A7E81}"/>
    <hyperlink ref="O3" r:id="rId27" xr:uid="{A4E37F16-31CE-41D6-8723-8518599A1B84}"/>
    <hyperlink ref="O4" r:id="rId28" xr:uid="{EBCE6B57-21A5-45BD-9AE9-AE39AB37461E}"/>
    <hyperlink ref="O68" r:id="rId29" xr:uid="{EF3A3693-C69D-4316-A286-ED7085F2D38F}"/>
    <hyperlink ref="O76" r:id="rId30" xr:uid="{1313535E-7713-43C5-8AD5-D40DE4A6D220}"/>
    <hyperlink ref="O79" r:id="rId31" xr:uid="{D1981182-84B8-498A-862D-D07E4B29F566}"/>
    <hyperlink ref="O53" r:id="rId32" xr:uid="{BFC03F9B-28C7-49A1-92CE-E6E9E30C99E0}"/>
    <hyperlink ref="O100" r:id="rId33" xr:uid="{E6F67C44-7AA7-4934-B403-3D3D8FFFEF09}"/>
    <hyperlink ref="O62" r:id="rId34" xr:uid="{D8A31615-E5C7-4F91-ADD7-5FC5D489DC8C}"/>
    <hyperlink ref="O102" r:id="rId35" xr:uid="{67A036C8-BF7C-4E65-94A8-EBCBFFDDD64B}"/>
    <hyperlink ref="O74" r:id="rId36" xr:uid="{49D21B71-5489-43B4-A368-0598D98186AE}"/>
    <hyperlink ref="O75" r:id="rId37" xr:uid="{2EF297CE-C25E-47A9-9F5F-BE784DA0BEA4}"/>
    <hyperlink ref="O51" r:id="rId38" xr:uid="{C00EF9C6-394A-48D0-B96A-CD5472D61E26}"/>
    <hyperlink ref="N101" r:id="rId39" xr:uid="{EF5CC553-01A0-45E1-B354-17841FA330C7}"/>
    <hyperlink ref="O101" r:id="rId40" xr:uid="{057610F0-BCD5-4504-A29F-43B7F0E30E6D}"/>
    <hyperlink ref="N69" r:id="rId41" xr:uid="{33B975CB-41B0-4BA3-BDB2-82938D15374D}"/>
    <hyperlink ref="N15" r:id="rId42" xr:uid="{AD394D7E-EA2C-4CBD-8588-EE1C5D920A5C}"/>
    <hyperlink ref="N7" r:id="rId43" xr:uid="{8EA18412-4E31-4EEE-8323-70288194394E}"/>
    <hyperlink ref="N5" r:id="rId44" xr:uid="{FE6B7F24-D971-4C22-9EA3-C10A4D637AF2}"/>
    <hyperlink ref="N8" r:id="rId45" xr:uid="{B1FA6632-E7FB-4A24-81F0-C05190038833}"/>
    <hyperlink ref="N6" r:id="rId46" xr:uid="{78AA0DFE-E4E8-437A-8B43-22662E20E451}"/>
    <hyperlink ref="O13" r:id="rId47" xr:uid="{DD58B65C-EEF0-4D15-8697-E6027C77467F}"/>
    <hyperlink ref="N54" r:id="rId48" xr:uid="{C4C8DA5E-5EB1-45F7-998F-DCB6D6BDF0A5}"/>
    <hyperlink ref="N55" r:id="rId49" xr:uid="{DE4A8FAD-38BD-4C54-93BB-58C4E45EFE75}"/>
    <hyperlink ref="N56" r:id="rId50" xr:uid="{62FFEE79-BE8A-49A5-9BE8-3CE575E66FD2}"/>
    <hyperlink ref="N57" r:id="rId51" xr:uid="{89F7A610-C950-4B9D-83B3-3808481E3E75}"/>
    <hyperlink ref="N18" r:id="rId52" xr:uid="{DFA50C78-7421-4EF0-8947-47B684B14FDA}"/>
    <hyperlink ref="N19" r:id="rId53" xr:uid="{DC213523-08A7-4057-AC82-D62ACCEB7744}"/>
    <hyperlink ref="N20" r:id="rId54" xr:uid="{406CB1F0-279B-4B7A-81F9-947CC9C43F7C}"/>
    <hyperlink ref="N17" r:id="rId55" xr:uid="{20CDD21C-0EA7-42DF-A1E4-79B6662492AC}"/>
    <hyperlink ref="N21" r:id="rId56" xr:uid="{B4A781D9-2FA8-4C1E-9A02-77D6F9452FFF}"/>
    <hyperlink ref="N32" r:id="rId57" xr:uid="{AD5ABE2F-42A8-4929-A1FC-37A4C538D766}"/>
    <hyperlink ref="O45" r:id="rId58" xr:uid="{CE71E4BB-E0A7-44D6-8865-B627A39448E0}"/>
    <hyperlink ref="N33" r:id="rId59" xr:uid="{923FA27C-E54A-4281-BCC1-5D8272466688}"/>
    <hyperlink ref="N25" r:id="rId60" xr:uid="{EE13771F-49E0-4D2F-A195-5A4E234607BB}"/>
    <hyperlink ref="N34" r:id="rId61" xr:uid="{8F556AF6-479B-48EB-BB67-17B7574F6393}"/>
    <hyperlink ref="N36" r:id="rId62" xr:uid="{A4C6AE16-3727-41FF-9A89-0D4CC1BAB976}"/>
    <hyperlink ref="N24" r:id="rId63" xr:uid="{6C1CE500-B11D-4F36-9E8F-AE1AFB9A1A0E}"/>
    <hyperlink ref="N29" r:id="rId64" xr:uid="{1A2CC3BD-FFE1-4345-AD32-26AE042F2D29}"/>
    <hyperlink ref="N35" r:id="rId65" xr:uid="{E9023FCE-767B-48B1-950B-567E6C11C1C4}"/>
    <hyperlink ref="N23" r:id="rId66" xr:uid="{F142DD1F-35F8-4BBD-AFC9-64C1CDF3602B}"/>
    <hyperlink ref="N27" r:id="rId67" xr:uid="{33844C40-4784-4174-95B4-D9681E124AC9}"/>
    <hyperlink ref="N26" r:id="rId68" xr:uid="{0686A1AF-7719-4945-9914-B5DACE7E7651}"/>
    <hyperlink ref="N37" r:id="rId69" xr:uid="{CBF98151-752D-4E2F-B1AD-747DA1057778}"/>
    <hyperlink ref="N30" r:id="rId70" xr:uid="{7CD137CF-5476-439A-941F-85A9FBEAEB99}"/>
    <hyperlink ref="N145" r:id="rId71" xr:uid="{5249A1EF-8836-40F7-BF78-F64751289E92}"/>
    <hyperlink ref="N146" r:id="rId72" xr:uid="{F186E2EA-239C-4BC0-BFBF-D674E4FA24EA}"/>
    <hyperlink ref="N74" r:id="rId73" xr:uid="{3A8918D5-3521-4680-BC7E-757146415982}"/>
    <hyperlink ref="N75" r:id="rId74" xr:uid="{96D23EC4-BD2F-4990-8D9E-22AFD9D477EF}"/>
    <hyperlink ref="N51" r:id="rId75" xr:uid="{BCCB3658-EB70-4B72-AA40-80537AD0565F}"/>
    <hyperlink ref="N3" r:id="rId76" xr:uid="{7FBB13C1-5C57-4A8F-B1EF-6F69E129F7E7}"/>
    <hyperlink ref="N58" r:id="rId77" xr:uid="{848A7949-B81C-4B9E-B25F-81D73C35C996}"/>
    <hyperlink ref="N76" r:id="rId78" xr:uid="{315F930D-FF13-4919-8ECD-CCDDAA285155}"/>
    <hyperlink ref="N77" r:id="rId79" xr:uid="{353F4E05-B250-461C-8DC2-71350D788EE0}"/>
    <hyperlink ref="N78" r:id="rId80" xr:uid="{A3324AEA-05A5-4451-BEB3-01E116FC9679}"/>
    <hyperlink ref="N79" r:id="rId81" xr:uid="{639C4A51-EBCE-48BD-B5F8-AC04717EFF6A}"/>
    <hyperlink ref="N100" r:id="rId82" xr:uid="{768680B7-5169-4842-B527-029353E64684}"/>
    <hyperlink ref="N59" r:id="rId83" xr:uid="{29979134-1202-48FC-97CE-D300A4627476}"/>
    <hyperlink ref="N68" r:id="rId84" xr:uid="{DFA8450D-A81E-47BC-A9B8-974C589B6952}"/>
    <hyperlink ref="N80" r:id="rId85" xr:uid="{E6F2BC41-9767-4C46-B81D-DC52B9F10B07}"/>
    <hyperlink ref="N81" r:id="rId86" xr:uid="{34E3F76C-D455-402C-92AF-545B140A606D}"/>
    <hyperlink ref="N82" r:id="rId87" xr:uid="{CFE5A47C-459C-43E8-9830-1959846797ED}"/>
    <hyperlink ref="N43" r:id="rId88" xr:uid="{7BD52D44-7F1B-4BB8-A7C0-2DC472A4149F}"/>
    <hyperlink ref="N44" r:id="rId89" xr:uid="{D0E8E6E6-FAA9-4D30-83BC-B359A10FE1C6}"/>
    <hyperlink ref="N52" r:id="rId90" xr:uid="{28CBFAB2-983F-40CD-BF9D-AB03A68DF061}"/>
    <hyperlink ref="N99" r:id="rId91" xr:uid="{66A34124-B81C-4634-993B-B5E05C25851D}"/>
    <hyperlink ref="N53" r:id="rId92" xr:uid="{6D9E5E72-2CBA-4440-9D17-6C6F89C5123F}"/>
    <hyperlink ref="N84" r:id="rId93" xr:uid="{5F7781A1-397A-46AE-B908-8251909F599A}"/>
    <hyperlink ref="N85" r:id="rId94" xr:uid="{A7656518-3D3E-41A4-930B-D64549DC5187}"/>
    <hyperlink ref="N98" r:id="rId95" xr:uid="{AF24A6CF-12E4-4D26-9767-BA6E36FF443D}"/>
    <hyperlink ref="N90" r:id="rId96" xr:uid="{5D06F607-87CF-4BFD-8561-D87AFF0083CD}"/>
    <hyperlink ref="N61" r:id="rId97" xr:uid="{40A3FBDA-8304-475E-8874-0244F11CF12A}"/>
    <hyperlink ref="N62" r:id="rId98" xr:uid="{ED67F1B3-B147-4A17-B56A-CD74F862035E}"/>
    <hyperlink ref="N10" r:id="rId99" xr:uid="{30AFED9C-3136-492A-8DD1-2D92A71D7120}"/>
    <hyperlink ref="N11" r:id="rId100" xr:uid="{5BBE1E1D-3C1C-424D-BCA9-F5C179495C8F}"/>
    <hyperlink ref="N12" r:id="rId101" xr:uid="{D42D2ED7-B278-4395-B23B-2DE21B437179}"/>
    <hyperlink ref="N13" r:id="rId102" xr:uid="{8370D691-12BF-48F3-9289-48E992760A42}"/>
    <hyperlink ref="N45" r:id="rId103" xr:uid="{E942B366-8A19-4A62-822D-F53DFE318A55}"/>
    <hyperlink ref="N46" r:id="rId104" xr:uid="{25CDB838-AD54-409F-A1FC-B9439154DEB4}"/>
    <hyperlink ref="N14" r:id="rId105" xr:uid="{77B7C901-9902-4ECC-92AB-3DB0A36A45FD}"/>
    <hyperlink ref="N102" r:id="rId106" xr:uid="{0D1952DC-CDC5-45DA-A324-7E58042ECC60}"/>
    <hyperlink ref="N97" r:id="rId107" xr:uid="{754C8275-9238-4368-8280-D80CAC35C8F9}"/>
    <hyperlink ref="N63" r:id="rId108" xr:uid="{01CEDFDF-5942-4DA5-B625-39A27BE570A3}"/>
    <hyperlink ref="N4" r:id="rId109" xr:uid="{459C0E5B-9262-415A-A041-29F227152AB8}"/>
    <hyperlink ref="N64" r:id="rId110" xr:uid="{AF7C56B9-4FB1-42F4-9EE6-AA27AFB7DA92}"/>
    <hyperlink ref="N148" r:id="rId111" xr:uid="{9559B3FD-A9B2-42BA-9387-27F0F6C647FB}"/>
    <hyperlink ref="N120" r:id="rId112" xr:uid="{461CD8D9-7547-40C0-B395-0D197444FAC9}"/>
    <hyperlink ref="N119" r:id="rId113" xr:uid="{9525CDB0-DF18-4FB7-972A-EB988D8C7B52}"/>
    <hyperlink ref="N152" r:id="rId114" xr:uid="{502D89BC-5CEE-44AC-8DA2-28E9BD651B46}"/>
    <hyperlink ref="N142" r:id="rId115" xr:uid="{3E2267B3-1413-428A-9725-94B64A5EEF21}"/>
    <hyperlink ref="N130" r:id="rId116" xr:uid="{8FC383A7-A543-43D3-A75D-42FFB195C4EA}"/>
    <hyperlink ref="N150" r:id="rId117" xr:uid="{904340B3-7BFA-4FA7-A5EF-D57D7CF36C85}"/>
    <hyperlink ref="N143" r:id="rId118" xr:uid="{A1378939-346C-4401-B040-6D94C05E16CC}"/>
    <hyperlink ref="N121" r:id="rId119" xr:uid="{371A4229-6110-45DC-97B1-12288EBEB902}"/>
    <hyperlink ref="N122" r:id="rId120" xr:uid="{7B90296B-FB96-42A8-85DB-16848A1C740A}"/>
    <hyperlink ref="N38" r:id="rId121" xr:uid="{51061830-D78A-45F7-A015-6A05F10266BB}"/>
    <hyperlink ref="O123" r:id="rId122" xr:uid="{3749AE66-EA13-4182-9D0A-BB9173C89481}"/>
    <hyperlink ref="N123" r:id="rId123" xr:uid="{96FA8806-C274-4D41-ADC6-36E49FDA8069}"/>
    <hyperlink ref="O124" r:id="rId124" xr:uid="{1BB37457-E796-4BD6-850A-A3BAB315A75D}"/>
    <hyperlink ref="N124" r:id="rId125" xr:uid="{90F4BC48-9ED7-401A-A293-1A7820A541BB}"/>
    <hyperlink ref="O125" r:id="rId126" xr:uid="{88EA2F3C-E73E-42C2-AECD-2DC6C05C01FD}"/>
    <hyperlink ref="N125" r:id="rId127" xr:uid="{A9E274B3-EBD5-4401-A7EF-E201FD15509C}"/>
    <hyperlink ref="O126" r:id="rId128" xr:uid="{4497407A-262A-4362-9E60-07439A760BFA}"/>
    <hyperlink ref="N126" r:id="rId129" xr:uid="{C700301B-3A12-41BE-A059-B47FE8551BEB}"/>
    <hyperlink ref="N127" r:id="rId130" xr:uid="{D386F770-21C0-41EB-A630-1370D5D59D50}"/>
    <hyperlink ref="O127" r:id="rId131" xr:uid="{8DE4CDB6-6739-4D36-93B4-69E69AC6D464}"/>
    <hyperlink ref="N128" r:id="rId132" xr:uid="{2614BB7E-37A3-42B4-823E-F366E81080D6}"/>
    <hyperlink ref="O128" r:id="rId133" xr:uid="{1DC461A9-7785-417F-89E1-4487AA611519}"/>
    <hyperlink ref="N129" r:id="rId134" xr:uid="{B8A87224-356A-496D-B6AF-7EB89679891F}"/>
    <hyperlink ref="O129" r:id="rId135" xr:uid="{CA4C0BBD-9BAE-4C6E-ADAF-A87156A3E494}"/>
    <hyperlink ref="N31" r:id="rId136" xr:uid="{C7BB106A-8F99-4D7A-A4E8-6FD64C5E066D}"/>
    <hyperlink ref="N22" r:id="rId137" xr:uid="{E6D86F37-9ED7-4DEF-8003-EB5A3D30C57B}"/>
    <hyperlink ref="N60" r:id="rId138" xr:uid="{61E586A9-C3F2-4234-BEE0-957B5B8B637E}"/>
    <hyperlink ref="N40" r:id="rId139" xr:uid="{22A0B5B3-BC82-42DB-B062-914FC9E1DCBF}"/>
    <hyperlink ref="N41" r:id="rId140" xr:uid="{48DC10A9-5FAB-4BDC-A846-55C409C64055}"/>
    <hyperlink ref="N136" r:id="rId141" xr:uid="{A88F178F-1165-4DFE-A3AF-FA20DDECF82A}"/>
    <hyperlink ref="N137" r:id="rId142" xr:uid="{0DE4D0C1-E7A2-4FDD-810E-C500BFF1F70E}"/>
    <hyperlink ref="N133" r:id="rId143" xr:uid="{B0D158E5-08D0-4B51-9625-5A3568F07F9E}"/>
    <hyperlink ref="N138" r:id="rId144" xr:uid="{7C112436-B282-4E2A-85D0-E53E2EF6996B}"/>
    <hyperlink ref="N139" r:id="rId145" xr:uid="{CCBD0116-7AB5-410E-AD82-FAC1C0BF8A47}"/>
    <hyperlink ref="N198" r:id="rId146" xr:uid="{31D3889E-DCD3-4D0F-9D6E-83C2389F350A}"/>
    <hyperlink ref="N134" r:id="rId147" xr:uid="{0F75F1DE-ADCF-4104-83B3-40F1ED545FCF}"/>
    <hyperlink ref="N131" r:id="rId148" xr:uid="{83DCE6C0-6C4A-4543-B6E4-3D8F3F21BCDF}"/>
    <hyperlink ref="N140" r:id="rId149" xr:uid="{E9F077A3-58F6-474C-BE6C-ED904DE98592}"/>
    <hyperlink ref="N39" r:id="rId150" xr:uid="{E800B5BD-CD30-4900-9BA3-2BC968DCB099}"/>
    <hyperlink ref="N141" r:id="rId151" xr:uid="{833A51DF-744F-4120-B25D-CAECEECBA3D1}"/>
    <hyperlink ref="N115" r:id="rId152" xr:uid="{C94DDB00-AF4D-46B8-9E5B-BB55E118C29E}"/>
    <hyperlink ref="N116" r:id="rId153" xr:uid="{4BE8DF35-C6EE-4C68-82F3-DC2948F36982}"/>
    <hyperlink ref="N118" r:id="rId154" xr:uid="{02C19805-2842-4D53-A4AB-B348897322FD}"/>
    <hyperlink ref="N117" r:id="rId155" xr:uid="{26A11DAB-A3F6-4820-9C44-1F100CBA5211}"/>
    <hyperlink ref="N132" r:id="rId156" xr:uid="{013344FD-D972-46DE-9FEE-A4A47B738C36}"/>
    <hyperlink ref="O195" r:id="rId157" xr:uid="{A1E8E0CA-3226-4960-BDCF-BCF043EA229D}"/>
    <hyperlink ref="O149" r:id="rId158" xr:uid="{2D686FE1-0C00-4FDA-9AEF-453F02B9B49A}"/>
    <hyperlink ref="N149" r:id="rId159" xr:uid="{C2035393-52EC-41AA-B3D4-78E700B7CF1B}"/>
    <hyperlink ref="O151" r:id="rId160" xr:uid="{082E5156-04BD-434E-844C-DFB316CE706A}"/>
    <hyperlink ref="N151" r:id="rId161" xr:uid="{3C4CCDBC-AEFF-4E25-B600-44EB4582D24F}"/>
    <hyperlink ref="O186" r:id="rId162" xr:uid="{838D435E-1E76-4231-876F-5151503F8AF8}"/>
    <hyperlink ref="O193" r:id="rId163" xr:uid="{F3B80211-BBF3-44C1-B68F-0E552AE86DDC}"/>
    <hyperlink ref="N193" r:id="rId164" xr:uid="{B213EC3C-6366-4D01-A495-29FE6BA75905}"/>
    <hyperlink ref="O191" r:id="rId165" xr:uid="{A5BEEFED-99A5-4B46-B638-DC9895A1C712}"/>
    <hyperlink ref="O166" r:id="rId166" xr:uid="{0E860414-F45C-4A21-AFD3-051B7A8276AE}"/>
    <hyperlink ref="O178" r:id="rId167" xr:uid="{A2687460-5CF2-4AD9-8B7F-40504A70D43C}"/>
    <hyperlink ref="O157" r:id="rId168" xr:uid="{84CA29BF-9456-48C3-B154-0F14764723B2}"/>
    <hyperlink ref="O187" r:id="rId169" xr:uid="{42C2F269-F4C9-41A6-9436-9754897BED2C}"/>
    <hyperlink ref="O168" r:id="rId170" xr:uid="{05973B81-EA5A-463E-B9F3-1573F023B4BC}"/>
    <hyperlink ref="O170" r:id="rId171" xr:uid="{478626FB-2A47-4290-96DD-9C9AFC5ACE14}"/>
    <hyperlink ref="O174" r:id="rId172" xr:uid="{08176F86-3276-461E-B40C-6B92260EBE8B}"/>
    <hyperlink ref="O176" r:id="rId173" xr:uid="{F70FEB11-AACB-4A8E-A4A2-A8CAF51B5F39}"/>
    <hyperlink ref="O180" r:id="rId174" xr:uid="{DEA8F8EA-F0A8-44B3-B7FA-8C2ACFFC14F3}"/>
    <hyperlink ref="O181" r:id="rId175" xr:uid="{F29C8906-ADE0-474F-81A0-D0DBFCDF1175}"/>
    <hyperlink ref="O147" r:id="rId176" xr:uid="{C63F63AB-6FD4-464E-AF51-5FFE58B69D3F}"/>
    <hyperlink ref="O169" r:id="rId177" xr:uid="{661CA236-0650-4C98-B47C-E2710DAF8EC7}"/>
    <hyperlink ref="O175" r:id="rId178" xr:uid="{D9C3C951-2A2F-459C-80C6-66E17B580D30}"/>
    <hyperlink ref="O182" r:id="rId179" xr:uid="{5D8073CF-14F9-4977-9A5C-C09DDA348DB7}"/>
    <hyperlink ref="O183" r:id="rId180" xr:uid="{D4AB68BE-BED9-4FF0-B939-C69EB94A37AC}"/>
    <hyperlink ref="O185" r:id="rId181" xr:uid="{F8293E4D-72CD-4991-A5C1-424EBEEE87DF}"/>
    <hyperlink ref="O167" r:id="rId182" xr:uid="{AA0BEB5E-B1A9-4445-A876-9132CDE0357E}"/>
    <hyperlink ref="O144" r:id="rId183" xr:uid="{544A53B5-F11B-4AEF-BA16-AA1C6BA65C3D}"/>
    <hyperlink ref="O171" r:id="rId184" xr:uid="{74218E1D-F3FE-4FDB-809D-F258F543EF5B}"/>
    <hyperlink ref="O173" r:id="rId185" xr:uid="{023AB741-A2AB-46DB-98DD-D438527DEEDE}"/>
    <hyperlink ref="O177" r:id="rId186" xr:uid="{1AD2CB54-6426-4583-A078-F0AAA4DC12AF}"/>
    <hyperlink ref="O165" r:id="rId187" xr:uid="{DC7B8D57-F28B-4588-B122-30B8EE75EB1A}"/>
    <hyperlink ref="O135" r:id="rId188" xr:uid="{25E43ABC-DAFB-4894-AB68-8BB91B965B2A}"/>
    <hyperlink ref="O179" r:id="rId189" xr:uid="{B2ADD0E5-1D69-474D-B7BA-FBC46B28B028}"/>
    <hyperlink ref="O158" r:id="rId190" xr:uid="{4454D2E1-ADBC-46DE-83F2-A525CB6AA81B}"/>
    <hyperlink ref="O162" r:id="rId191" xr:uid="{0D98419C-3BE6-4788-AECC-E4C8FC0AA934}"/>
    <hyperlink ref="O184" r:id="rId192" xr:uid="{DBDE6E46-A4FB-48E5-8B79-9300F977DF94}"/>
    <hyperlink ref="O160" r:id="rId193" xr:uid="{13E3DA35-6A15-4946-B11C-C05835D199F3}"/>
    <hyperlink ref="O188" r:id="rId194" xr:uid="{C665836A-A44F-4489-833E-BF42DC5398BE}"/>
    <hyperlink ref="N188" r:id="rId195" xr:uid="{60ABAA10-B04C-4B3E-AB73-E0BAD37CC6A8}"/>
    <hyperlink ref="N190" r:id="rId196" xr:uid="{FFA95259-F5EA-4B15-927C-378F854BBD01}"/>
    <hyperlink ref="O190" r:id="rId197" xr:uid="{AC586BE7-BFF6-413E-BBFB-B1823B13A72C}"/>
    <hyperlink ref="O172" r:id="rId198" xr:uid="{DE3A0A6E-402A-46BC-BC25-A740E7A24476}"/>
    <hyperlink ref="O114" r:id="rId199" xr:uid="{C446F125-8F33-4D4B-B0BE-D1607D8D2BD2}"/>
    <hyperlink ref="O156" r:id="rId200" xr:uid="{91F5C8C1-FC0A-4290-BA50-5D159EB28068}"/>
    <hyperlink ref="O153" r:id="rId201" xr:uid="{38FA83C5-F531-4824-A264-661D1E59C1EA}"/>
    <hyperlink ref="N153" r:id="rId202" xr:uid="{F061E077-920F-484F-A798-25B76258A2D4}"/>
    <hyperlink ref="O154" r:id="rId203" xr:uid="{699A6977-04F9-40E8-9E0A-C20387B33C18}"/>
    <hyperlink ref="N154" r:id="rId204" xr:uid="{055B3431-05E7-4E36-9F2D-5D85F93F556B}"/>
    <hyperlink ref="O155" r:id="rId205" xr:uid="{A42D7E63-BD71-4DEB-A5FC-ECB440EA504D}"/>
    <hyperlink ref="N155" r:id="rId206" xr:uid="{93775F7B-0CDF-4576-8BEF-67A201B86CBA}"/>
    <hyperlink ref="O159" r:id="rId207" xr:uid="{8261C8BE-9A15-4FC5-BC27-1B0ABD0BD1C4}"/>
    <hyperlink ref="O161" r:id="rId208" xr:uid="{67D06276-31D1-4513-87FC-DD673558DEDD}"/>
    <hyperlink ref="N166" r:id="rId209" xr:uid="{A2B39E96-0D62-4A8F-95B0-F44CC5A2EFC7}"/>
    <hyperlink ref="N165" r:id="rId210" xr:uid="{C8B59E67-CF30-41E3-B26D-119243D25BEB}"/>
    <hyperlink ref="N167" r:id="rId211" xr:uid="{08FEFC59-A79E-4D1E-96C3-195A3E8B4695}"/>
    <hyperlink ref="N168" r:id="rId212" xr:uid="{50DE26E6-2E06-4C66-A35E-5B61C72CDBAD}"/>
    <hyperlink ref="N169" r:id="rId213" xr:uid="{331B2555-5798-47E4-BD2D-1BD253284DA3}"/>
    <hyperlink ref="N187" r:id="rId214" xr:uid="{7C4C1E26-FB6C-4D3E-BBEF-E646BB6FD738}"/>
    <hyperlink ref="N186" r:id="rId215" xr:uid="{D1D83C3D-03A1-4E49-803E-57EC14E241E0}"/>
    <hyperlink ref="N185" r:id="rId216" xr:uid="{7C207FE7-A730-4A88-ACF9-B4CD6C7A3344}"/>
    <hyperlink ref="N183" r:id="rId217" xr:uid="{AE839670-29F7-48A1-B23A-70670DF42B05}"/>
    <hyperlink ref="N182" r:id="rId218" xr:uid="{7B5DD13D-AD61-4D35-A637-3093CC4BA5A4}"/>
    <hyperlink ref="N181" r:id="rId219" xr:uid="{F5AC59D1-4E11-495A-BACE-4F3F04C31390}"/>
    <hyperlink ref="N180" r:id="rId220" xr:uid="{DD30BABF-515E-4E65-BB1C-D86673EFEB6F}"/>
    <hyperlink ref="N179" r:id="rId221" xr:uid="{DEABD275-D6D2-428A-9859-60F2555BE6BD}"/>
    <hyperlink ref="N178" r:id="rId222" xr:uid="{83A07545-BC6E-4E61-A67C-C2FFD13C8862}"/>
    <hyperlink ref="N177" r:id="rId223" xr:uid="{A5BE72A1-A219-4D15-851B-27ACCBDCBA51}"/>
    <hyperlink ref="N176" r:id="rId224" xr:uid="{2C98B07B-E713-46C0-90D6-46FE2D00C6D0}"/>
    <hyperlink ref="N175" r:id="rId225" xr:uid="{77041296-23C9-4069-A132-7D49804AA030}"/>
    <hyperlink ref="N174" r:id="rId226" xr:uid="{C824DBCF-2929-4A0F-BED7-B8F1631F0629}"/>
    <hyperlink ref="N173" r:id="rId227" xr:uid="{C0336A7A-EF0B-4B88-8079-DF6AFA615933}"/>
    <hyperlink ref="N171" r:id="rId228" xr:uid="{A04B6748-25F4-43EE-B3A2-437AE9227D7F}"/>
    <hyperlink ref="N170" r:id="rId229" xr:uid="{1EF301ED-E5A1-44E4-8CC4-78A75C9D574D}"/>
    <hyperlink ref="N135" r:id="rId230" xr:uid="{2257B7C7-3524-40CC-9C64-0B490D83745C}"/>
    <hyperlink ref="N144" r:id="rId231" xr:uid="{B5A17185-A26C-4FD5-BD88-9904DDBD5D16}"/>
    <hyperlink ref="N147" r:id="rId232" xr:uid="{A222E45A-BBE6-4BB2-BCC0-A43EC97B21CB}"/>
    <hyperlink ref="N114" r:id="rId233" xr:uid="{92AB6013-C595-4947-8B5F-99409BB6A871}"/>
    <hyperlink ref="N159" r:id="rId234" xr:uid="{616AC7A1-34EA-479F-9439-2F2C2AAE043C}"/>
    <hyperlink ref="N161" r:id="rId235" xr:uid="{344877D8-3161-4449-B1A2-1355824DBD15}"/>
    <hyperlink ref="N156" r:id="rId236" xr:uid="{18DDD6F7-2CF5-4757-82E4-5715FC73E965}"/>
    <hyperlink ref="N157" r:id="rId237" xr:uid="{DA6ACA14-4A97-49B2-82A3-7579F7AD7361}"/>
    <hyperlink ref="N158" r:id="rId238" xr:uid="{7D2F73D3-9007-48A2-81B4-AEC7F74C4BD0}"/>
    <hyperlink ref="N162" r:id="rId239" xr:uid="{1D1A3E33-2D91-4D71-B884-B0309507C30E}"/>
    <hyperlink ref="N160" r:id="rId240" xr:uid="{E687342C-2183-4E37-9835-78183BC9CA94}"/>
    <hyperlink ref="N172" r:id="rId241" xr:uid="{34759F16-69E6-4B76-AAE1-58A945EB77A9}"/>
    <hyperlink ref="N184" r:id="rId242" xr:uid="{F2B34250-A7E7-4D12-83EE-11C56758614F}"/>
    <hyperlink ref="N191" r:id="rId243" xr:uid="{030A9434-7E95-49DD-B70E-C27F9A75DE05}"/>
    <hyperlink ref="O194" r:id="rId244" xr:uid="{3E7D7ED1-C7DD-4118-86A2-AB9BBF701613}"/>
    <hyperlink ref="N194" r:id="rId245" xr:uid="{B6B4E5C8-6266-4836-8702-CC99A654363A}"/>
    <hyperlink ref="N197" r:id="rId246" xr:uid="{F3307599-6A31-4748-A8F7-CC08A2C5930E}"/>
    <hyperlink ref="O197" r:id="rId247" xr:uid="{5BCBCE3E-906B-4D3C-973C-6D57D2C870D5}"/>
    <hyperlink ref="N28" r:id="rId248" xr:uid="{6C046611-15BB-4207-9BF3-AAFC69E96020}"/>
    <hyperlink ref="N42" r:id="rId249" xr:uid="{58A2AEC2-8833-47AF-9B26-C2D4BE1029AD}"/>
    <hyperlink ref="N9" r:id="rId250" xr:uid="{767FFE33-79C9-47CE-A475-478DD7FCE50C}"/>
    <hyperlink ref="O91" r:id="rId251" xr:uid="{3C447AE8-80A0-4A60-A166-C07964844066}"/>
    <hyperlink ref="O93" r:id="rId252" xr:uid="{D148E623-0820-4906-A8D2-C9BC03E6C948}"/>
    <hyperlink ref="O83" r:id="rId253" xr:uid="{75B81022-BCD1-452F-847A-0AFFC22C3449}"/>
    <hyperlink ref="O65" r:id="rId254" xr:uid="{44D8A12E-F94A-47B2-80FB-C553AD38705F}"/>
    <hyperlink ref="O47" r:id="rId255" xr:uid="{40C46C90-0EAC-4D6E-8D57-8C000D3B1735}"/>
    <hyperlink ref="O86" r:id="rId256" xr:uid="{BB2816D1-356F-4DE9-995D-2AB03CE96D0C}"/>
    <hyperlink ref="O87" r:id="rId257" xr:uid="{5E76EF17-3011-46E1-B0D9-AAD889A8E326}"/>
    <hyperlink ref="O88" r:id="rId258" xr:uid="{4977D2EF-3E2E-4E5B-9FCC-3D456FF7FE00}"/>
    <hyperlink ref="O89" r:id="rId259" xr:uid="{E9D54957-8087-4048-9F23-7700B0A9367A}"/>
    <hyperlink ref="O48" r:id="rId260" xr:uid="{0BFA5FFF-1BED-4CE5-A2F3-BCAE80CE6A87}"/>
    <hyperlink ref="O49" r:id="rId261" xr:uid="{FBE00F27-ADB0-4A2C-A886-7C478DF19669}"/>
    <hyperlink ref="O92" r:id="rId262" xr:uid="{BB7D1FEE-C798-487B-AAE3-EBE007D40993}"/>
    <hyperlink ref="O66" r:id="rId263" xr:uid="{481AA237-2EAE-4B55-9A1F-D13E9F761460}"/>
    <hyperlink ref="O70" r:id="rId264" xr:uid="{5A3FDE73-39F6-4E9B-B59C-B7E4C0E327DA}"/>
    <hyperlink ref="O67" r:id="rId265" xr:uid="{650517E5-528A-4BB1-AD9F-ACD9E4471E89}"/>
    <hyperlink ref="O96" r:id="rId266" xr:uid="{E6491E6F-CEA7-40F0-BF84-90079E2BAC6E}"/>
    <hyperlink ref="O95" r:id="rId267" xr:uid="{20030466-6790-49E2-A027-8A01E02A9FD0}"/>
    <hyperlink ref="O94" r:id="rId268" xr:uid="{49E97EDD-6656-484A-956E-7D121F02E9F4}"/>
    <hyperlink ref="O72" r:id="rId269" xr:uid="{6CEDB47F-55FC-4B11-AE22-8C5E93353A21}"/>
    <hyperlink ref="O71" r:id="rId270" xr:uid="{D0897FF8-2389-4BBE-BA38-DBDD96D80BE9}"/>
    <hyperlink ref="O73" r:id="rId271" xr:uid="{F0A0EA71-3352-42C6-873C-F000913A7436}"/>
    <hyperlink ref="O50" r:id="rId272" xr:uid="{152DE27E-E602-4E1F-9566-0ACB7B1CE0D0}"/>
  </hyperlinks>
  <pageMargins left="0.7" right="0.7" top="0.75" bottom="0.75" header="0.511811023622047" footer="0.511811023622047"/>
  <pageSetup paperSize="9" orientation="portrait" horizontalDpi="300" verticalDpi="300"/>
  <tableParts count="1">
    <tablePart r:id="rId27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4"/>
  <sheetViews>
    <sheetView zoomScaleNormal="100" workbookViewId="0">
      <pane ySplit="2" topLeftCell="A55" activePane="bottomLeft" state="frozen"/>
      <selection pane="bottomLeft" activeCell="F55" sqref="F55"/>
    </sheetView>
  </sheetViews>
  <sheetFormatPr defaultColWidth="8.5703125" defaultRowHeight="15"/>
  <cols>
    <col min="2" max="2" width="19.7109375" customWidth="1"/>
    <col min="5" max="5" width="19" customWidth="1"/>
    <col min="6" max="6" width="26" customWidth="1"/>
    <col min="9" max="9" width="18.7109375" customWidth="1"/>
    <col min="10" max="10" width="22.5703125" customWidth="1"/>
    <col min="11" max="11" width="21.85546875" customWidth="1"/>
    <col min="15" max="15" width="11.5703125" bestFit="1" customWidth="1"/>
  </cols>
  <sheetData>
    <row r="1" spans="1:15" ht="18.75">
      <c r="A1" s="19" t="s">
        <v>940</v>
      </c>
      <c r="B1" s="19"/>
      <c r="D1" s="19" t="s">
        <v>941</v>
      </c>
      <c r="E1" s="19"/>
      <c r="F1" s="19"/>
      <c r="H1" s="19" t="s">
        <v>942</v>
      </c>
      <c r="I1" s="19"/>
      <c r="J1" s="19"/>
      <c r="K1" s="19"/>
    </row>
    <row r="2" spans="1:15">
      <c r="A2" s="6" t="s">
        <v>943</v>
      </c>
      <c r="B2" s="1" t="s">
        <v>944</v>
      </c>
      <c r="D2" s="6" t="s">
        <v>943</v>
      </c>
      <c r="E2" s="6" t="s">
        <v>945</v>
      </c>
      <c r="F2" s="6" t="s">
        <v>944</v>
      </c>
      <c r="H2" s="7" t="s">
        <v>943</v>
      </c>
      <c r="I2" s="7" t="s">
        <v>945</v>
      </c>
      <c r="J2" s="7" t="s">
        <v>946</v>
      </c>
      <c r="K2" s="7" t="s">
        <v>944</v>
      </c>
    </row>
    <row r="3" spans="1:15">
      <c r="A3">
        <v>0</v>
      </c>
      <c r="B3" t="s">
        <v>947</v>
      </c>
      <c r="D3">
        <v>0</v>
      </c>
      <c r="E3" t="s">
        <v>947</v>
      </c>
      <c r="F3" t="s">
        <v>948</v>
      </c>
      <c r="H3">
        <v>1</v>
      </c>
      <c r="I3" t="s">
        <v>269</v>
      </c>
      <c r="J3" t="s">
        <v>949</v>
      </c>
      <c r="K3" t="s">
        <v>950</v>
      </c>
    </row>
    <row r="4" spans="1:15">
      <c r="A4">
        <v>1</v>
      </c>
      <c r="B4" t="s">
        <v>673</v>
      </c>
      <c r="D4">
        <v>1</v>
      </c>
      <c r="E4" t="s">
        <v>947</v>
      </c>
      <c r="F4" t="s">
        <v>951</v>
      </c>
      <c r="H4">
        <v>2</v>
      </c>
      <c r="I4" t="s">
        <v>952</v>
      </c>
      <c r="J4" t="s">
        <v>953</v>
      </c>
      <c r="K4" t="s">
        <v>314</v>
      </c>
    </row>
    <row r="5" spans="1:15">
      <c r="A5">
        <v>2</v>
      </c>
      <c r="B5" t="s">
        <v>954</v>
      </c>
      <c r="D5">
        <v>2</v>
      </c>
      <c r="E5" t="s">
        <v>947</v>
      </c>
      <c r="F5" t="s">
        <v>955</v>
      </c>
      <c r="H5">
        <v>3</v>
      </c>
      <c r="I5" t="s">
        <v>952</v>
      </c>
      <c r="J5" t="s">
        <v>953</v>
      </c>
      <c r="K5" t="s">
        <v>555</v>
      </c>
      <c r="O5" t="str" cm="1">
        <f t="array" ref="O5:O7">_xlfn._xlws.FILTER(table_subcategories[name], table_subcategories[category]="circuitProtection")</f>
        <v>ESD_TVS</v>
      </c>
    </row>
    <row r="6" spans="1:15">
      <c r="A6">
        <v>3</v>
      </c>
      <c r="B6" t="s">
        <v>269</v>
      </c>
      <c r="D6">
        <v>3</v>
      </c>
      <c r="E6" t="s">
        <v>673</v>
      </c>
      <c r="F6" t="s">
        <v>956</v>
      </c>
      <c r="H6">
        <v>4</v>
      </c>
      <c r="I6" t="s">
        <v>952</v>
      </c>
      <c r="J6" t="s">
        <v>423</v>
      </c>
      <c r="K6" t="s">
        <v>957</v>
      </c>
      <c r="O6" t="str">
        <v>fuseHolders</v>
      </c>
    </row>
    <row r="7" spans="1:15">
      <c r="A7">
        <v>4</v>
      </c>
      <c r="B7" t="s">
        <v>66</v>
      </c>
      <c r="D7">
        <v>4</v>
      </c>
      <c r="E7" t="s">
        <v>673</v>
      </c>
      <c r="F7" t="s">
        <v>958</v>
      </c>
      <c r="H7">
        <v>5</v>
      </c>
      <c r="I7" t="s">
        <v>952</v>
      </c>
      <c r="J7" t="s">
        <v>423</v>
      </c>
      <c r="K7" t="s">
        <v>959</v>
      </c>
      <c r="O7" t="str">
        <v>fuses</v>
      </c>
    </row>
    <row r="8" spans="1:15">
      <c r="A8">
        <v>5</v>
      </c>
      <c r="B8" t="s">
        <v>219</v>
      </c>
      <c r="D8">
        <v>5</v>
      </c>
      <c r="E8" t="s">
        <v>954</v>
      </c>
      <c r="F8" t="s">
        <v>960</v>
      </c>
      <c r="H8">
        <v>6</v>
      </c>
      <c r="I8" t="s">
        <v>673</v>
      </c>
      <c r="J8" t="s">
        <v>958</v>
      </c>
      <c r="K8" t="s">
        <v>961</v>
      </c>
    </row>
    <row r="9" spans="1:15">
      <c r="A9">
        <v>6</v>
      </c>
      <c r="B9" t="s">
        <v>244</v>
      </c>
      <c r="D9">
        <v>6</v>
      </c>
      <c r="E9" t="s">
        <v>954</v>
      </c>
      <c r="F9" t="s">
        <v>962</v>
      </c>
      <c r="H9">
        <v>7</v>
      </c>
      <c r="I9" t="s">
        <v>673</v>
      </c>
      <c r="J9" t="s">
        <v>958</v>
      </c>
      <c r="K9" t="s">
        <v>963</v>
      </c>
    </row>
    <row r="10" spans="1:15">
      <c r="A10">
        <v>7</v>
      </c>
      <c r="B10" t="s">
        <v>471</v>
      </c>
      <c r="D10">
        <v>7</v>
      </c>
      <c r="E10" t="s">
        <v>269</v>
      </c>
      <c r="F10" t="s">
        <v>949</v>
      </c>
      <c r="H10">
        <v>8</v>
      </c>
      <c r="I10" t="s">
        <v>673</v>
      </c>
      <c r="J10" t="s">
        <v>956</v>
      </c>
      <c r="K10" t="s">
        <v>964</v>
      </c>
    </row>
    <row r="11" spans="1:15">
      <c r="A11">
        <v>8</v>
      </c>
      <c r="B11" t="s">
        <v>965</v>
      </c>
      <c r="D11">
        <v>8</v>
      </c>
      <c r="E11" t="s">
        <v>269</v>
      </c>
      <c r="F11" t="s">
        <v>966</v>
      </c>
      <c r="H11">
        <v>9</v>
      </c>
      <c r="I11" t="s">
        <v>954</v>
      </c>
      <c r="J11" t="s">
        <v>960</v>
      </c>
      <c r="K11" t="s">
        <v>967</v>
      </c>
    </row>
    <row r="12" spans="1:15">
      <c r="A12">
        <v>9</v>
      </c>
      <c r="B12" t="s">
        <v>968</v>
      </c>
      <c r="D12">
        <v>9</v>
      </c>
      <c r="E12" t="s">
        <v>269</v>
      </c>
      <c r="F12" t="s">
        <v>969</v>
      </c>
      <c r="H12">
        <v>10</v>
      </c>
      <c r="I12" t="s">
        <v>954</v>
      </c>
      <c r="J12" t="s">
        <v>960</v>
      </c>
      <c r="K12" t="s">
        <v>970</v>
      </c>
    </row>
    <row r="13" spans="1:15">
      <c r="A13">
        <v>10</v>
      </c>
      <c r="B13" t="s">
        <v>971</v>
      </c>
      <c r="D13">
        <v>10</v>
      </c>
      <c r="E13" t="s">
        <v>66</v>
      </c>
      <c r="F13" t="s">
        <v>139</v>
      </c>
      <c r="H13">
        <v>11</v>
      </c>
      <c r="I13" t="s">
        <v>954</v>
      </c>
      <c r="J13" t="s">
        <v>960</v>
      </c>
      <c r="K13" t="s">
        <v>972</v>
      </c>
    </row>
    <row r="14" spans="1:15">
      <c r="A14">
        <v>11</v>
      </c>
      <c r="B14" t="s">
        <v>25</v>
      </c>
      <c r="D14">
        <v>11</v>
      </c>
      <c r="E14" t="s">
        <v>66</v>
      </c>
      <c r="F14" t="s">
        <v>99</v>
      </c>
      <c r="H14">
        <v>12</v>
      </c>
      <c r="I14" t="s">
        <v>954</v>
      </c>
      <c r="J14" t="s">
        <v>960</v>
      </c>
      <c r="K14" t="s">
        <v>973</v>
      </c>
    </row>
    <row r="15" spans="1:15">
      <c r="D15">
        <v>12</v>
      </c>
      <c r="E15" t="s">
        <v>66</v>
      </c>
      <c r="F15" t="s">
        <v>974</v>
      </c>
      <c r="H15">
        <v>13</v>
      </c>
      <c r="I15" t="s">
        <v>971</v>
      </c>
      <c r="J15" t="s">
        <v>975</v>
      </c>
      <c r="K15" t="s">
        <v>976</v>
      </c>
    </row>
    <row r="16" spans="1:15">
      <c r="D16">
        <v>13</v>
      </c>
      <c r="E16" t="s">
        <v>66</v>
      </c>
      <c r="F16" t="s">
        <v>67</v>
      </c>
      <c r="H16">
        <v>14</v>
      </c>
      <c r="I16" t="s">
        <v>971</v>
      </c>
      <c r="J16" t="s">
        <v>975</v>
      </c>
      <c r="K16" t="s">
        <v>977</v>
      </c>
    </row>
    <row r="17" spans="4:11">
      <c r="D17">
        <v>14</v>
      </c>
      <c r="E17" t="s">
        <v>66</v>
      </c>
      <c r="F17" t="s">
        <v>978</v>
      </c>
      <c r="H17">
        <v>15</v>
      </c>
      <c r="I17" t="s">
        <v>971</v>
      </c>
      <c r="J17" t="s">
        <v>975</v>
      </c>
      <c r="K17" t="s">
        <v>979</v>
      </c>
    </row>
    <row r="18" spans="4:11">
      <c r="D18">
        <v>15</v>
      </c>
      <c r="E18" t="s">
        <v>219</v>
      </c>
      <c r="F18" t="s">
        <v>220</v>
      </c>
    </row>
    <row r="19" spans="4:11">
      <c r="D19">
        <v>16</v>
      </c>
      <c r="E19" t="s">
        <v>219</v>
      </c>
      <c r="F19" t="s">
        <v>277</v>
      </c>
    </row>
    <row r="20" spans="4:11">
      <c r="D20">
        <v>17</v>
      </c>
      <c r="E20" t="s">
        <v>244</v>
      </c>
      <c r="F20" t="s">
        <v>314</v>
      </c>
    </row>
    <row r="21" spans="4:11">
      <c r="D21">
        <v>18</v>
      </c>
      <c r="E21" t="s">
        <v>244</v>
      </c>
      <c r="F21" t="s">
        <v>980</v>
      </c>
    </row>
    <row r="22" spans="4:11">
      <c r="D22">
        <v>19</v>
      </c>
      <c r="E22" t="s">
        <v>244</v>
      </c>
      <c r="F22" t="s">
        <v>387</v>
      </c>
    </row>
    <row r="23" spans="4:11">
      <c r="D23">
        <v>20</v>
      </c>
      <c r="E23" t="s">
        <v>244</v>
      </c>
      <c r="F23" t="s">
        <v>981</v>
      </c>
    </row>
    <row r="24" spans="4:11">
      <c r="D24">
        <v>21</v>
      </c>
      <c r="E24" t="s">
        <v>244</v>
      </c>
      <c r="F24" t="s">
        <v>423</v>
      </c>
    </row>
    <row r="25" spans="4:11">
      <c r="D25">
        <v>22</v>
      </c>
      <c r="E25" t="s">
        <v>244</v>
      </c>
      <c r="F25" t="s">
        <v>982</v>
      </c>
    </row>
    <row r="26" spans="4:11">
      <c r="D26">
        <v>23</v>
      </c>
      <c r="E26" t="s">
        <v>471</v>
      </c>
      <c r="F26" t="s">
        <v>983</v>
      </c>
    </row>
    <row r="27" spans="4:11">
      <c r="D27">
        <v>24</v>
      </c>
      <c r="E27" t="s">
        <v>471</v>
      </c>
      <c r="F27" t="s">
        <v>472</v>
      </c>
    </row>
    <row r="28" spans="4:11">
      <c r="D28">
        <v>25</v>
      </c>
      <c r="E28" t="s">
        <v>471</v>
      </c>
      <c r="F28" t="s">
        <v>984</v>
      </c>
    </row>
    <row r="29" spans="4:11">
      <c r="D29">
        <v>26</v>
      </c>
      <c r="E29" t="s">
        <v>471</v>
      </c>
      <c r="F29" t="s">
        <v>985</v>
      </c>
    </row>
    <row r="30" spans="4:11">
      <c r="D30">
        <v>27</v>
      </c>
      <c r="E30" t="s">
        <v>471</v>
      </c>
      <c r="F30" t="s">
        <v>986</v>
      </c>
    </row>
    <row r="31" spans="4:11">
      <c r="D31">
        <v>28</v>
      </c>
      <c r="E31" t="s">
        <v>471</v>
      </c>
      <c r="F31" t="s">
        <v>987</v>
      </c>
    </row>
    <row r="32" spans="4:11">
      <c r="D32">
        <v>29</v>
      </c>
      <c r="E32" t="s">
        <v>471</v>
      </c>
      <c r="F32" t="s">
        <v>988</v>
      </c>
    </row>
    <row r="33" spans="4:6">
      <c r="D33">
        <v>30</v>
      </c>
      <c r="E33" t="s">
        <v>965</v>
      </c>
      <c r="F33" t="s">
        <v>989</v>
      </c>
    </row>
    <row r="34" spans="4:6">
      <c r="D34">
        <v>31</v>
      </c>
      <c r="E34" t="s">
        <v>965</v>
      </c>
      <c r="F34" t="s">
        <v>990</v>
      </c>
    </row>
    <row r="35" spans="4:6">
      <c r="D35">
        <v>32</v>
      </c>
      <c r="E35" t="s">
        <v>968</v>
      </c>
      <c r="F35" t="s">
        <v>991</v>
      </c>
    </row>
    <row r="36" spans="4:6">
      <c r="D36">
        <v>33</v>
      </c>
      <c r="E36" t="s">
        <v>968</v>
      </c>
      <c r="F36" t="s">
        <v>992</v>
      </c>
    </row>
    <row r="37" spans="4:6">
      <c r="D37">
        <v>34</v>
      </c>
      <c r="E37" t="s">
        <v>971</v>
      </c>
      <c r="F37" t="s">
        <v>975</v>
      </c>
    </row>
    <row r="38" spans="4:6">
      <c r="D38">
        <v>35</v>
      </c>
      <c r="E38" t="s">
        <v>244</v>
      </c>
      <c r="F38" t="s">
        <v>555</v>
      </c>
    </row>
    <row r="39" spans="4:6">
      <c r="D39">
        <v>36</v>
      </c>
      <c r="E39" t="s">
        <v>25</v>
      </c>
      <c r="F39" t="s">
        <v>26</v>
      </c>
    </row>
    <row r="40" spans="4:6">
      <c r="D40">
        <v>37</v>
      </c>
      <c r="E40" t="s">
        <v>25</v>
      </c>
      <c r="F40" t="s">
        <v>39</v>
      </c>
    </row>
    <row r="41" spans="4:6">
      <c r="D41">
        <v>28</v>
      </c>
      <c r="E41" t="s">
        <v>66</v>
      </c>
      <c r="F41" t="s">
        <v>488</v>
      </c>
    </row>
    <row r="42" spans="4:6">
      <c r="D42">
        <v>29</v>
      </c>
      <c r="E42" t="s">
        <v>673</v>
      </c>
      <c r="F42" t="s">
        <v>674</v>
      </c>
    </row>
    <row r="43" spans="4:6">
      <c r="D43">
        <v>30</v>
      </c>
      <c r="E43" t="s">
        <v>673</v>
      </c>
      <c r="F43" t="s">
        <v>678</v>
      </c>
    </row>
    <row r="44" spans="4:6">
      <c r="D44">
        <v>31</v>
      </c>
      <c r="E44" t="s">
        <v>244</v>
      </c>
      <c r="F44" t="s">
        <v>364</v>
      </c>
    </row>
    <row r="45" spans="4:6">
      <c r="D45">
        <v>32</v>
      </c>
      <c r="E45" t="s">
        <v>244</v>
      </c>
      <c r="F45" t="s">
        <v>245</v>
      </c>
    </row>
    <row r="46" spans="4:6">
      <c r="D46">
        <v>33</v>
      </c>
      <c r="E46" t="s">
        <v>244</v>
      </c>
      <c r="F46" t="s">
        <v>261</v>
      </c>
    </row>
    <row r="47" spans="4:6">
      <c r="D47">
        <v>34</v>
      </c>
      <c r="E47" t="s">
        <v>25</v>
      </c>
      <c r="F47" t="s">
        <v>524</v>
      </c>
    </row>
    <row r="48" spans="4:6">
      <c r="D48">
        <v>35</v>
      </c>
      <c r="E48" t="s">
        <v>244</v>
      </c>
      <c r="F48" t="s">
        <v>370</v>
      </c>
    </row>
    <row r="49" spans="4:6">
      <c r="D49">
        <v>36</v>
      </c>
      <c r="E49" t="s">
        <v>244</v>
      </c>
      <c r="F49" t="s">
        <v>402</v>
      </c>
    </row>
    <row r="50" spans="4:6">
      <c r="D50">
        <v>37</v>
      </c>
      <c r="E50" t="s">
        <v>471</v>
      </c>
      <c r="F50" t="s">
        <v>548</v>
      </c>
    </row>
    <row r="51" spans="4:6">
      <c r="D51">
        <v>38</v>
      </c>
      <c r="E51" t="s">
        <v>244</v>
      </c>
      <c r="F51" t="s">
        <v>540</v>
      </c>
    </row>
    <row r="52" spans="4:6">
      <c r="D52">
        <v>39</v>
      </c>
      <c r="E52" t="s">
        <v>244</v>
      </c>
      <c r="F52" t="s">
        <v>534</v>
      </c>
    </row>
    <row r="53" spans="4:6">
      <c r="D53">
        <v>40</v>
      </c>
      <c r="E53" t="s">
        <v>244</v>
      </c>
      <c r="F53" t="s">
        <v>408</v>
      </c>
    </row>
    <row r="54" spans="4:6">
      <c r="D54">
        <v>41</v>
      </c>
      <c r="E54" t="s">
        <v>269</v>
      </c>
      <c r="F54" t="s">
        <v>270</v>
      </c>
    </row>
  </sheetData>
  <mergeCells count="3">
    <mergeCell ref="A1:B1"/>
    <mergeCell ref="D1:F1"/>
    <mergeCell ref="H1:K1"/>
  </mergeCells>
  <pageMargins left="0.7" right="0.7" top="0.75" bottom="0.75" header="0.511811023622047" footer="0.511811023622047"/>
  <pageSetup paperSize="9" orientation="portrait" horizontalDpi="300" verticalDpi="300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40A34-5928-48A1-9C12-76A59B214045}">
  <dimension ref="A1:W47"/>
  <sheetViews>
    <sheetView workbookViewId="0">
      <selection activeCell="G47" sqref="G47"/>
    </sheetView>
  </sheetViews>
  <sheetFormatPr defaultRowHeight="15"/>
  <sheetData>
    <row r="1" spans="1:23">
      <c r="A1" s="2" t="s">
        <v>947</v>
      </c>
      <c r="B1" s="2"/>
      <c r="C1" s="2"/>
      <c r="E1" s="2" t="s">
        <v>673</v>
      </c>
      <c r="F1" s="2"/>
      <c r="G1" s="2"/>
      <c r="I1" s="2" t="s">
        <v>954</v>
      </c>
      <c r="J1" s="2"/>
      <c r="K1" s="2"/>
      <c r="M1" s="2" t="s">
        <v>269</v>
      </c>
      <c r="N1" s="2"/>
      <c r="O1" s="2"/>
      <c r="Q1" s="2" t="s">
        <v>66</v>
      </c>
      <c r="R1" s="2"/>
      <c r="S1" s="2"/>
      <c r="U1" s="2" t="s">
        <v>219</v>
      </c>
      <c r="V1" s="2"/>
      <c r="W1" s="2"/>
    </row>
    <row r="2" spans="1:23">
      <c r="A2" s="6" t="s">
        <v>943</v>
      </c>
      <c r="B2" s="6" t="s">
        <v>945</v>
      </c>
      <c r="C2" s="6" t="s">
        <v>944</v>
      </c>
      <c r="E2" s="6" t="s">
        <v>943</v>
      </c>
      <c r="F2" s="6" t="s">
        <v>945</v>
      </c>
      <c r="G2" s="6" t="s">
        <v>944</v>
      </c>
      <c r="I2" s="6" t="s">
        <v>943</v>
      </c>
      <c r="J2" s="6" t="s">
        <v>945</v>
      </c>
      <c r="K2" s="6" t="s">
        <v>944</v>
      </c>
      <c r="M2" s="6" t="s">
        <v>943</v>
      </c>
      <c r="N2" s="6" t="s">
        <v>945</v>
      </c>
      <c r="O2" s="6" t="s">
        <v>944</v>
      </c>
      <c r="Q2" s="6" t="s">
        <v>943</v>
      </c>
      <c r="R2" s="6" t="s">
        <v>945</v>
      </c>
      <c r="S2" s="6" t="s">
        <v>944</v>
      </c>
      <c r="U2" s="6" t="s">
        <v>943</v>
      </c>
      <c r="V2" s="6" t="s">
        <v>945</v>
      </c>
      <c r="W2" s="6" t="s">
        <v>944</v>
      </c>
    </row>
    <row r="3" spans="1:23">
      <c r="A3" cm="1">
        <f t="array" ref="A3:C5">_xlfn._xlws.FILTER(table_subcategories[], table_subcategories[category]=A1)</f>
        <v>0</v>
      </c>
      <c r="B3" t="str">
        <v>circuitProtection</v>
      </c>
      <c r="C3" t="str">
        <v>ESD_TVS</v>
      </c>
      <c r="E3" cm="1">
        <f t="array" ref="E3:G6">_xlfn._xlws.FILTER(table_subcategories[], table_subcategories[category]=E1)</f>
        <v>3</v>
      </c>
      <c r="F3" t="str">
        <v>connector</v>
      </c>
      <c r="G3" t="str">
        <v>Dupont</v>
      </c>
      <c r="I3" cm="1">
        <f t="array" ref="I3:K4">_xlfn._xlws.FILTER(table_subcategories[], table_subcategories[category]=I1)</f>
        <v>5</v>
      </c>
      <c r="J3" t="str">
        <v>electromechanical</v>
      </c>
      <c r="K3" t="str">
        <v>motors</v>
      </c>
      <c r="M3" cm="1">
        <f t="array" ref="M3:O6">_xlfn._xlws.FILTER(table_subcategories[], table_subcategories[category]=M1)</f>
        <v>7</v>
      </c>
      <c r="N3" t="str">
        <v>embeddedSolutions</v>
      </c>
      <c r="O3" t="str">
        <v>computing</v>
      </c>
      <c r="Q3" cm="1">
        <f t="array" ref="Q3:S8">_xlfn._xlws.FILTER(table_subcategories[], table_subcategories[category]=Q1)</f>
        <v>10</v>
      </c>
      <c r="R3" t="str">
        <v>passiveComponents</v>
      </c>
      <c r="S3" t="str">
        <v>capacitors</v>
      </c>
      <c r="U3" cm="1">
        <f t="array" ref="U3:W4">_xlfn._xlws.FILTER(table_subcategories[], table_subcategories[category]=U1)</f>
        <v>15</v>
      </c>
      <c r="V3" t="str">
        <v>power</v>
      </c>
      <c r="W3" t="str">
        <v>AC-DC_Converters</v>
      </c>
    </row>
    <row r="4" spans="1:23">
      <c r="A4">
        <v>1</v>
      </c>
      <c r="B4" t="str">
        <v>circuitProtection</v>
      </c>
      <c r="C4" t="str">
        <v>fuseHolders</v>
      </c>
      <c r="E4">
        <v>4</v>
      </c>
      <c r="F4" t="str">
        <v>connector</v>
      </c>
      <c r="G4" t="str">
        <v>JST</v>
      </c>
      <c r="I4">
        <v>6</v>
      </c>
      <c r="J4" t="str">
        <v>electromechanical</v>
      </c>
      <c r="K4" t="str">
        <v>relays</v>
      </c>
      <c r="M4">
        <v>8</v>
      </c>
      <c r="N4" t="str">
        <v>embeddedSolutions</v>
      </c>
      <c r="O4" t="str">
        <v>developmentKits</v>
      </c>
      <c r="Q4">
        <v>11</v>
      </c>
      <c r="R4" t="str">
        <v>passiveComponents</v>
      </c>
      <c r="S4" t="str">
        <v>inductors</v>
      </c>
      <c r="U4">
        <v>16</v>
      </c>
      <c r="V4" t="str">
        <v>power</v>
      </c>
      <c r="W4" t="str">
        <v>DC-DC_Converters</v>
      </c>
    </row>
    <row r="5" spans="1:23">
      <c r="A5">
        <v>2</v>
      </c>
      <c r="B5" t="str">
        <v>circuitProtection</v>
      </c>
      <c r="C5" t="str">
        <v>fuses</v>
      </c>
      <c r="E5">
        <v>29</v>
      </c>
      <c r="F5" t="str">
        <v>connector</v>
      </c>
      <c r="G5" t="str">
        <v>powerJacks</v>
      </c>
      <c r="M5">
        <v>9</v>
      </c>
      <c r="N5" t="str">
        <v>embeddedSolutions</v>
      </c>
      <c r="O5" t="str">
        <v>sensorModules</v>
      </c>
      <c r="Q5">
        <v>12</v>
      </c>
      <c r="R5" t="str">
        <v>passiveComponents</v>
      </c>
      <c r="S5" t="str">
        <v>potentiometers</v>
      </c>
    </row>
    <row r="6" spans="1:23">
      <c r="E6">
        <v>30</v>
      </c>
      <c r="F6" t="str">
        <v>connector</v>
      </c>
      <c r="G6" t="str">
        <v>pinHeader_pinSocket</v>
      </c>
      <c r="M6">
        <v>41</v>
      </c>
      <c r="N6" t="str">
        <v>embeddedSolutions</v>
      </c>
      <c r="O6" t="str">
        <v>communicationRF</v>
      </c>
      <c r="Q6">
        <v>13</v>
      </c>
      <c r="R6" t="str">
        <v>passiveComponents</v>
      </c>
      <c r="S6" t="str">
        <v>resistors</v>
      </c>
    </row>
    <row r="7" spans="1:23">
      <c r="Q7">
        <v>14</v>
      </c>
      <c r="R7" t="str">
        <v>passiveComponents</v>
      </c>
      <c r="S7" t="str">
        <v>signalTransformers</v>
      </c>
    </row>
    <row r="8" spans="1:23">
      <c r="Q8">
        <v>28</v>
      </c>
      <c r="R8" t="str">
        <v>passiveComponents</v>
      </c>
      <c r="S8" t="str">
        <v>quartz</v>
      </c>
    </row>
    <row r="31" spans="1:23">
      <c r="A31" s="2" t="s">
        <v>244</v>
      </c>
      <c r="B31" s="2"/>
      <c r="C31" s="2"/>
      <c r="E31" s="6" t="s">
        <v>471</v>
      </c>
      <c r="F31" s="2"/>
      <c r="G31" s="2"/>
      <c r="I31" s="2" t="s">
        <v>965</v>
      </c>
      <c r="J31" s="2"/>
      <c r="K31" s="2"/>
      <c r="M31" s="2" t="s">
        <v>968</v>
      </c>
      <c r="N31" s="2"/>
      <c r="O31" s="2"/>
      <c r="Q31" s="2" t="s">
        <v>971</v>
      </c>
      <c r="R31" s="2"/>
      <c r="S31" s="2"/>
      <c r="U31" s="2" t="s">
        <v>25</v>
      </c>
      <c r="V31" s="2"/>
      <c r="W31" s="2"/>
    </row>
    <row r="32" spans="1:23">
      <c r="A32" s="6" t="s">
        <v>943</v>
      </c>
      <c r="B32" s="6" t="s">
        <v>945</v>
      </c>
      <c r="C32" s="6" t="s">
        <v>944</v>
      </c>
      <c r="E32" s="6" t="s">
        <v>943</v>
      </c>
      <c r="F32" s="6" t="s">
        <v>945</v>
      </c>
      <c r="G32" s="6" t="s">
        <v>944</v>
      </c>
      <c r="I32" s="6" t="s">
        <v>943</v>
      </c>
      <c r="J32" s="6" t="s">
        <v>945</v>
      </c>
      <c r="K32" s="6" t="s">
        <v>944</v>
      </c>
      <c r="M32" s="6" t="s">
        <v>943</v>
      </c>
      <c r="N32" s="6" t="s">
        <v>945</v>
      </c>
      <c r="O32" s="6" t="s">
        <v>944</v>
      </c>
      <c r="Q32" s="6" t="s">
        <v>943</v>
      </c>
      <c r="R32" s="6" t="s">
        <v>945</v>
      </c>
      <c r="S32" s="6" t="s">
        <v>944</v>
      </c>
      <c r="U32" s="6" t="s">
        <v>943</v>
      </c>
      <c r="V32" s="6" t="s">
        <v>945</v>
      </c>
      <c r="W32" s="6" t="s">
        <v>944</v>
      </c>
    </row>
    <row r="33" spans="1:23">
      <c r="A33" cm="1">
        <f t="array" ref="A33:C47">_xlfn._xlws.FILTER(table_subcategories[], table_subcategories[category]=A31)</f>
        <v>17</v>
      </c>
      <c r="B33" t="str">
        <v>semiconductors</v>
      </c>
      <c r="C33" t="str">
        <v>diodes</v>
      </c>
      <c r="E33" cm="1">
        <f t="array" ref="E33:G40">_xlfn._xlws.FILTER(table_subcategories[], table_subcategories[category]=E31)</f>
        <v>23</v>
      </c>
      <c r="F33" t="str">
        <v>sensors</v>
      </c>
      <c r="G33" t="str">
        <v>audio</v>
      </c>
      <c r="I33" cm="1">
        <f t="array" ref="I33:K34">_xlfn._xlws.FILTER(table_subcategories[], table_subcategories[category]=I31)</f>
        <v>30</v>
      </c>
      <c r="J33" t="str">
        <v>thermalManagement</v>
      </c>
      <c r="K33" t="str">
        <v>fans</v>
      </c>
      <c r="M33" cm="1">
        <f t="array" ref="M33:O34">_xlfn._xlws.FILTER(table_subcategories[], table_subcategories[category]=M31)</f>
        <v>32</v>
      </c>
      <c r="N33" t="str">
        <v>wireCables</v>
      </c>
      <c r="O33" t="str">
        <v>cableAssemblies</v>
      </c>
      <c r="Q33" cm="1">
        <f t="array" ref="Q33:S33">_xlfn._xlws.FILTER(table_subcategories[], table_subcategories[category]=Q31)</f>
        <v>34</v>
      </c>
      <c r="R33" t="str">
        <v>tools</v>
      </c>
      <c r="S33" t="str">
        <v>soldering</v>
      </c>
      <c r="U33" cm="1">
        <f t="array" ref="U33:W35">_xlfn._xlws.FILTER(table_subcategories[], table_subcategories[category]=U31)</f>
        <v>36</v>
      </c>
      <c r="V33" t="str">
        <v>optoelectronic</v>
      </c>
      <c r="W33" t="str">
        <v>LED</v>
      </c>
    </row>
    <row r="34" spans="1:23">
      <c r="A34">
        <v>18</v>
      </c>
      <c r="B34" t="str">
        <v>semiconductors</v>
      </c>
      <c r="C34" t="str">
        <v>embeddedProcessors</v>
      </c>
      <c r="E34">
        <v>24</v>
      </c>
      <c r="F34" t="str">
        <v>sensors</v>
      </c>
      <c r="G34" t="str">
        <v>current</v>
      </c>
      <c r="I34">
        <v>31</v>
      </c>
      <c r="J34" t="str">
        <v>thermalManagement</v>
      </c>
      <c r="K34" t="str">
        <v>heatSinks</v>
      </c>
      <c r="M34">
        <v>33</v>
      </c>
      <c r="N34" t="str">
        <v>wireCables</v>
      </c>
      <c r="O34" t="str">
        <v>multiConductorCables</v>
      </c>
      <c r="U34">
        <v>37</v>
      </c>
      <c r="V34" t="str">
        <v>optoelectronic</v>
      </c>
      <c r="W34" t="str">
        <v>IR</v>
      </c>
    </row>
    <row r="35" spans="1:23">
      <c r="A35">
        <v>19</v>
      </c>
      <c r="B35" t="str">
        <v>semiconductors</v>
      </c>
      <c r="C35" t="str">
        <v>integratedCircuits</v>
      </c>
      <c r="E35">
        <v>25</v>
      </c>
      <c r="F35" t="str">
        <v>sensors</v>
      </c>
      <c r="G35" t="str">
        <v>encoders</v>
      </c>
      <c r="U35">
        <v>34</v>
      </c>
      <c r="V35" t="str">
        <v>optoelectronic</v>
      </c>
      <c r="W35" t="str">
        <v>phototransistor</v>
      </c>
    </row>
    <row r="36" spans="1:23">
      <c r="A36">
        <v>20</v>
      </c>
      <c r="B36" t="str">
        <v>semiconductors</v>
      </c>
      <c r="C36" t="str">
        <v>memoryICs</v>
      </c>
      <c r="E36">
        <v>26</v>
      </c>
      <c r="F36" t="str">
        <v>sensors</v>
      </c>
      <c r="G36" t="str">
        <v>magnetic</v>
      </c>
    </row>
    <row r="37" spans="1:23">
      <c r="A37">
        <v>21</v>
      </c>
      <c r="B37" t="str">
        <v>semiconductors</v>
      </c>
      <c r="C37" t="str">
        <v>powerManagementICs</v>
      </c>
      <c r="E37">
        <v>27</v>
      </c>
      <c r="F37" t="str">
        <v>sensors</v>
      </c>
      <c r="G37" t="str">
        <v>pressure</v>
      </c>
    </row>
    <row r="38" spans="1:23">
      <c r="A38">
        <v>22</v>
      </c>
      <c r="B38" t="str">
        <v>semiconductors</v>
      </c>
      <c r="C38" t="str">
        <v>wireless_RFSemiconductors</v>
      </c>
      <c r="E38">
        <v>28</v>
      </c>
      <c r="F38" t="str">
        <v>sensors</v>
      </c>
      <c r="G38" t="str">
        <v>prximity</v>
      </c>
    </row>
    <row r="39" spans="1:23">
      <c r="A39">
        <v>35</v>
      </c>
      <c r="B39" t="str">
        <v>semiconductors</v>
      </c>
      <c r="C39" t="str">
        <v>transistors</v>
      </c>
      <c r="E39">
        <v>29</v>
      </c>
      <c r="F39" t="str">
        <v>sensors</v>
      </c>
      <c r="G39" t="str">
        <v>temperature</v>
      </c>
    </row>
    <row r="40" spans="1:23">
      <c r="A40">
        <v>31</v>
      </c>
      <c r="B40" t="str">
        <v>semiconductors</v>
      </c>
      <c r="C40" t="str">
        <v>gateDriver</v>
      </c>
      <c r="E40">
        <v>37</v>
      </c>
      <c r="F40" t="str">
        <v>sensors</v>
      </c>
      <c r="G40" t="str">
        <v>IMU</v>
      </c>
    </row>
    <row r="41" spans="1:23">
      <c r="A41">
        <v>32</v>
      </c>
      <c r="B41" t="str">
        <v>semiconductors</v>
      </c>
      <c r="C41" t="str">
        <v>amplifier</v>
      </c>
    </row>
    <row r="42" spans="1:23">
      <c r="A42">
        <v>33</v>
      </c>
      <c r="B42" t="str">
        <v>semiconductors</v>
      </c>
      <c r="C42" t="str">
        <v>buffer</v>
      </c>
    </row>
    <row r="43" spans="1:23">
      <c r="A43">
        <v>35</v>
      </c>
      <c r="B43" t="str">
        <v>semiconductors</v>
      </c>
      <c r="C43" t="str">
        <v>gpioExpander</v>
      </c>
    </row>
    <row r="44" spans="1:23">
      <c r="A44">
        <v>36</v>
      </c>
      <c r="B44" t="str">
        <v>semiconductors</v>
      </c>
      <c r="C44" t="str">
        <v>ledDriver</v>
      </c>
    </row>
    <row r="45" spans="1:23">
      <c r="A45">
        <v>38</v>
      </c>
      <c r="B45" t="str">
        <v>semiconductors</v>
      </c>
      <c r="C45" t="str">
        <v>transceiverRF</v>
      </c>
    </row>
    <row r="46" spans="1:23">
      <c r="A46">
        <v>39</v>
      </c>
      <c r="B46" t="str">
        <v>semiconductors</v>
      </c>
      <c r="C46" t="str">
        <v>transceiverEth</v>
      </c>
    </row>
    <row r="47" spans="1:23">
      <c r="A47">
        <v>40</v>
      </c>
      <c r="B47" t="str">
        <v>semiconductors</v>
      </c>
      <c r="C47" t="str">
        <v>motorDriver</v>
      </c>
    </row>
  </sheetData>
  <sheetProtection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94286-1FE2-42B3-9824-CBBC1F3B3D94}">
  <dimension ref="A1:W63"/>
  <sheetViews>
    <sheetView workbookViewId="0">
      <selection activeCell="A3" sqref="A3"/>
    </sheetView>
  </sheetViews>
  <sheetFormatPr defaultRowHeight="15"/>
  <sheetData>
    <row r="1" spans="1:23">
      <c r="A1" t="s">
        <v>950</v>
      </c>
      <c r="B1" s="2"/>
      <c r="C1" s="2"/>
      <c r="E1" t="s">
        <v>314</v>
      </c>
      <c r="F1" s="2"/>
      <c r="G1" s="2"/>
      <c r="I1" t="s">
        <v>555</v>
      </c>
      <c r="J1" s="2"/>
      <c r="K1" s="2"/>
      <c r="M1" t="s">
        <v>957</v>
      </c>
      <c r="N1" s="2"/>
      <c r="O1" s="2"/>
      <c r="Q1" t="s">
        <v>959</v>
      </c>
      <c r="R1" s="2"/>
      <c r="S1" s="2"/>
      <c r="U1" t="s">
        <v>961</v>
      </c>
      <c r="V1" s="2"/>
      <c r="W1" s="2"/>
    </row>
    <row r="2" spans="1:23">
      <c r="A2" s="6" t="s">
        <v>943</v>
      </c>
      <c r="B2" s="6" t="s">
        <v>945</v>
      </c>
      <c r="C2" s="6" t="s">
        <v>944</v>
      </c>
      <c r="E2" s="6" t="s">
        <v>943</v>
      </c>
      <c r="F2" s="6" t="s">
        <v>945</v>
      </c>
      <c r="G2" s="6" t="s">
        <v>944</v>
      </c>
      <c r="I2" s="6" t="s">
        <v>943</v>
      </c>
      <c r="J2" s="6" t="s">
        <v>945</v>
      </c>
      <c r="K2" s="6" t="s">
        <v>944</v>
      </c>
      <c r="M2" s="6" t="s">
        <v>943</v>
      </c>
      <c r="N2" s="6" t="s">
        <v>945</v>
      </c>
      <c r="O2" s="6" t="s">
        <v>944</v>
      </c>
      <c r="Q2" s="6" t="s">
        <v>943</v>
      </c>
      <c r="R2" s="6" t="s">
        <v>945</v>
      </c>
      <c r="S2" s="6" t="s">
        <v>944</v>
      </c>
      <c r="U2" s="6" t="s">
        <v>943</v>
      </c>
      <c r="V2" s="6" t="s">
        <v>945</v>
      </c>
      <c r="W2" s="6" t="s">
        <v>944</v>
      </c>
    </row>
    <row r="3" spans="1:23">
      <c r="A3" t="e" cm="1" vm="1">
        <f t="array" ref="A3">_xlfn._xlws.FILTER(table_subsubcategories[], table_subsubcategories[sub-category]=A1)</f>
        <v>#VALUE!</v>
      </c>
      <c r="E3" t="e" cm="1" vm="1">
        <f t="array" ref="E3">_xlfn._xlws.FILTER(table_subsubcategories[], table_subsubcategories[sub-category]=E1)</f>
        <v>#VALUE!</v>
      </c>
      <c r="I3" t="e" cm="1" vm="1">
        <f t="array" ref="I3">_xlfn._xlws.FILTER(table_subsubcategories[], table_subsubcategories[sub-category]=I1)</f>
        <v>#VALUE!</v>
      </c>
      <c r="M3" t="e" cm="1" vm="1">
        <f t="array" ref="M3">_xlfn._xlws.FILTER(table_subcategories[], table_subcategories[category]=M1)</f>
        <v>#VALUE!</v>
      </c>
      <c r="Q3" t="e" cm="1">
        <f t="array" ref="Q3">_xlfn._xlws.FILTER(table_subcategories[], table_subcategories[category]=#REF!)</f>
        <v>#REF!</v>
      </c>
      <c r="U3" t="e" cm="1">
        <f t="array" ref="U3">_xlfn._xlws.FILTER(table_subcategories[], table_subcategories[category]=#REF!)</f>
        <v>#REF!</v>
      </c>
    </row>
    <row r="31" spans="1:23">
      <c r="A31" t="s">
        <v>963</v>
      </c>
      <c r="B31" s="2"/>
      <c r="C31" s="2"/>
      <c r="E31" t="s">
        <v>964</v>
      </c>
      <c r="F31" s="2"/>
      <c r="G31" s="2"/>
      <c r="I31" t="s">
        <v>967</v>
      </c>
      <c r="J31" s="2"/>
      <c r="K31" s="2"/>
      <c r="M31" t="s">
        <v>970</v>
      </c>
      <c r="N31" s="2"/>
      <c r="O31" s="2"/>
      <c r="Q31" t="s">
        <v>972</v>
      </c>
      <c r="R31" s="2"/>
      <c r="S31" s="2"/>
      <c r="U31" t="s">
        <v>973</v>
      </c>
      <c r="V31" s="2"/>
      <c r="W31" s="2"/>
    </row>
    <row r="32" spans="1:23">
      <c r="A32" s="6" t="s">
        <v>943</v>
      </c>
      <c r="B32" s="6" t="s">
        <v>945</v>
      </c>
      <c r="C32" s="6" t="s">
        <v>944</v>
      </c>
      <c r="E32" s="6" t="s">
        <v>943</v>
      </c>
      <c r="F32" s="6" t="s">
        <v>945</v>
      </c>
      <c r="G32" s="6" t="s">
        <v>944</v>
      </c>
      <c r="I32" s="6" t="s">
        <v>943</v>
      </c>
      <c r="J32" s="6" t="s">
        <v>945</v>
      </c>
      <c r="K32" s="6" t="s">
        <v>944</v>
      </c>
      <c r="M32" s="6" t="s">
        <v>943</v>
      </c>
      <c r="N32" s="6" t="s">
        <v>945</v>
      </c>
      <c r="O32" s="6" t="s">
        <v>944</v>
      </c>
      <c r="Q32" s="6" t="s">
        <v>943</v>
      </c>
      <c r="R32" s="6" t="s">
        <v>945</v>
      </c>
      <c r="S32" s="6" t="s">
        <v>944</v>
      </c>
      <c r="U32" s="6" t="s">
        <v>943</v>
      </c>
      <c r="V32" s="6" t="s">
        <v>945</v>
      </c>
      <c r="W32" s="6" t="s">
        <v>944</v>
      </c>
    </row>
    <row r="33" spans="1:21">
      <c r="A33" t="e" cm="1">
        <f t="array" ref="A33">_xlfn._xlws.FILTER(table_subcategories[], table_subcategories[category]=#REF!)</f>
        <v>#REF!</v>
      </c>
      <c r="E33" t="e" cm="1">
        <f t="array" ref="E33">_xlfn._xlws.FILTER(table_subcategories[], table_subcategories[category]=#REF!)</f>
        <v>#REF!</v>
      </c>
      <c r="I33" t="e" cm="1">
        <f t="array" ref="I33">_xlfn._xlws.FILTER(table_subcategories[], table_subcategories[category]=#REF!)</f>
        <v>#REF!</v>
      </c>
      <c r="M33" t="e" cm="1">
        <f t="array" ref="M33">_xlfn._xlws.FILTER(table_subcategories[], table_subcategories[category]=#REF!)</f>
        <v>#REF!</v>
      </c>
      <c r="Q33" t="e" cm="1">
        <f t="array" ref="Q33">_xlfn._xlws.FILTER(table_subcategories[], table_subcategories[category]=#REF!)</f>
        <v>#REF!</v>
      </c>
      <c r="U33" t="e" cm="1">
        <f t="array" ref="U33">_xlfn._xlws.FILTER(table_subcategories[], table_subcategories[category]=#REF!)</f>
        <v>#REF!</v>
      </c>
    </row>
    <row r="61" spans="1:23">
      <c r="A61" t="s">
        <v>976</v>
      </c>
      <c r="B61" s="2"/>
      <c r="C61" s="2"/>
      <c r="E61" t="s">
        <v>977</v>
      </c>
      <c r="F61" s="2"/>
      <c r="G61" s="2"/>
      <c r="I61" t="s">
        <v>979</v>
      </c>
      <c r="J61" s="2"/>
      <c r="K61" s="2"/>
      <c r="N61" s="2"/>
      <c r="O61" s="2"/>
      <c r="R61" s="2"/>
      <c r="S61" s="2"/>
      <c r="V61" s="2"/>
      <c r="W61" s="2"/>
    </row>
    <row r="62" spans="1:23">
      <c r="A62" s="6" t="s">
        <v>943</v>
      </c>
      <c r="B62" s="6" t="s">
        <v>945</v>
      </c>
      <c r="C62" s="6" t="s">
        <v>944</v>
      </c>
      <c r="E62" s="6" t="s">
        <v>943</v>
      </c>
      <c r="F62" s="6" t="s">
        <v>945</v>
      </c>
      <c r="G62" s="6" t="s">
        <v>944</v>
      </c>
      <c r="I62" s="6" t="s">
        <v>943</v>
      </c>
      <c r="J62" s="6" t="s">
        <v>945</v>
      </c>
      <c r="K62" s="6" t="s">
        <v>944</v>
      </c>
      <c r="M62" s="6"/>
      <c r="N62" s="6"/>
      <c r="O62" s="6"/>
      <c r="Q62" s="6"/>
      <c r="R62" s="6"/>
      <c r="S62" s="6"/>
      <c r="U62" s="6"/>
      <c r="V62" s="6"/>
      <c r="W62" s="6"/>
    </row>
    <row r="63" spans="1:23">
      <c r="A63" t="e" cm="1">
        <f t="array" ref="A63">_xlfn._xlws.FILTER(table_subcategories[], table_subcategories[category]=#REF!)</f>
        <v>#REF!</v>
      </c>
      <c r="E63" t="e" cm="1">
        <f t="array" ref="E63">_xlfn._xlws.FILTER(table_subcategories[], table_subcategories[category]=#REF!)</f>
        <v>#REF!</v>
      </c>
      <c r="I63" t="e" cm="1">
        <f t="array" ref="I63">_xlfn._xlws.FILTER(table_subcategories[], table_subcategories[category]=#REF!)</f>
        <v>#REF!</v>
      </c>
    </row>
  </sheetData>
  <sheetProtection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8B624-88D8-4C90-A2D2-EF3189DD3F67}">
  <dimension ref="A1:C8"/>
  <sheetViews>
    <sheetView workbookViewId="0">
      <selection activeCell="D185" sqref="D185"/>
    </sheetView>
  </sheetViews>
  <sheetFormatPr defaultRowHeight="15"/>
  <cols>
    <col min="1" max="1" width="19.28515625" bestFit="1" customWidth="1"/>
    <col min="2" max="2" width="23.7109375" customWidth="1"/>
  </cols>
  <sheetData>
    <row r="1" spans="1:3" ht="18.75">
      <c r="A1" s="19" t="s">
        <v>9</v>
      </c>
      <c r="B1" s="19"/>
      <c r="C1" s="19"/>
    </row>
    <row r="2" spans="1:3">
      <c r="A2" s="2" t="s">
        <v>944</v>
      </c>
      <c r="B2" s="2" t="s">
        <v>993</v>
      </c>
      <c r="C2" s="2" t="s">
        <v>994</v>
      </c>
    </row>
    <row r="3" spans="1:3">
      <c r="A3" t="s">
        <v>29</v>
      </c>
      <c r="B3" s="3" t="s">
        <v>995</v>
      </c>
      <c r="C3" t="s">
        <v>996</v>
      </c>
    </row>
    <row r="4" spans="1:3">
      <c r="A4" t="s">
        <v>85</v>
      </c>
      <c r="B4" s="3" t="s">
        <v>997</v>
      </c>
      <c r="C4" t="s">
        <v>996</v>
      </c>
    </row>
    <row r="5" spans="1:3">
      <c r="A5" t="s">
        <v>264</v>
      </c>
      <c r="B5" s="3" t="s">
        <v>998</v>
      </c>
      <c r="C5" t="s">
        <v>999</v>
      </c>
    </row>
    <row r="6" spans="1:3">
      <c r="A6" t="s">
        <v>272</v>
      </c>
      <c r="B6" s="3" t="s">
        <v>1000</v>
      </c>
      <c r="C6" t="s">
        <v>996</v>
      </c>
    </row>
    <row r="7" spans="1:3">
      <c r="A7" t="s">
        <v>1001</v>
      </c>
      <c r="B7" s="3" t="s">
        <v>1002</v>
      </c>
      <c r="C7" t="s">
        <v>996</v>
      </c>
    </row>
    <row r="8" spans="1:3">
      <c r="A8" t="s">
        <v>795</v>
      </c>
      <c r="B8" s="3" t="s">
        <v>1003</v>
      </c>
      <c r="C8" t="s">
        <v>1004</v>
      </c>
    </row>
  </sheetData>
  <mergeCells count="1">
    <mergeCell ref="A1:C1"/>
  </mergeCells>
  <hyperlinks>
    <hyperlink ref="B3" r:id="rId1" xr:uid="{75B39F96-E3D0-47F6-899F-E30E95AC4AEE}"/>
    <hyperlink ref="B4" r:id="rId2" xr:uid="{585D89D6-4593-4E4A-AEF4-1F69BA1BAD8C}"/>
    <hyperlink ref="B5" r:id="rId3" xr:uid="{CF659838-679F-413D-BACE-75ABE363B3AB}"/>
    <hyperlink ref="B6" r:id="rId4" xr:uid="{C4386DDF-20D5-4509-B251-8B54C61220C2}"/>
    <hyperlink ref="B7" r:id="rId5" xr:uid="{72A903F4-FE61-4CFA-88C6-0331AC4D4001}"/>
    <hyperlink ref="B8" r:id="rId6" xr:uid="{A702A0E3-2890-4C1F-90B4-935F7D572CC0}"/>
  </hyperlinks>
  <pageMargins left="0.7" right="0.7" top="0.75" bottom="0.75" header="0.3" footer="0.3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2F7A7-08E6-40FC-AC9F-9A427D71C42F}">
  <dimension ref="A1:C38"/>
  <sheetViews>
    <sheetView workbookViewId="0">
      <selection activeCell="A39" sqref="A39"/>
    </sheetView>
  </sheetViews>
  <sheetFormatPr defaultRowHeight="15"/>
  <cols>
    <col min="1" max="1" width="18.7109375" customWidth="1"/>
    <col min="2" max="2" width="35.85546875" customWidth="1"/>
    <col min="3" max="3" width="15" customWidth="1"/>
  </cols>
  <sheetData>
    <row r="1" spans="1:3" ht="18.75">
      <c r="A1" s="19" t="s">
        <v>7</v>
      </c>
      <c r="B1" s="19"/>
      <c r="C1" s="19"/>
    </row>
    <row r="2" spans="1:3">
      <c r="A2" s="2" t="s">
        <v>944</v>
      </c>
      <c r="B2" s="2" t="s">
        <v>993</v>
      </c>
      <c r="C2" s="2" t="s">
        <v>994</v>
      </c>
    </row>
    <row r="3" spans="1:3">
      <c r="A3" t="s">
        <v>424</v>
      </c>
      <c r="B3" s="3"/>
    </row>
    <row r="4" spans="1:3">
      <c r="A4" t="s">
        <v>262</v>
      </c>
      <c r="B4" s="3"/>
    </row>
    <row r="5" spans="1:3">
      <c r="A5" t="s">
        <v>337</v>
      </c>
      <c r="B5" s="3"/>
    </row>
    <row r="6" spans="1:3">
      <c r="A6" t="s">
        <v>68</v>
      </c>
      <c r="B6" s="3"/>
    </row>
    <row r="7" spans="1:3">
      <c r="A7" t="s">
        <v>47</v>
      </c>
      <c r="B7" s="3"/>
    </row>
    <row r="8" spans="1:3">
      <c r="A8" t="s">
        <v>233</v>
      </c>
    </row>
    <row r="9" spans="1:3">
      <c r="A9" t="s">
        <v>323</v>
      </c>
    </row>
    <row r="10" spans="1:3">
      <c r="A10" t="s">
        <v>40</v>
      </c>
    </row>
    <row r="11" spans="1:3">
      <c r="A11" t="s">
        <v>27</v>
      </c>
    </row>
    <row r="12" spans="1:3">
      <c r="A12" t="s">
        <v>477</v>
      </c>
    </row>
    <row r="13" spans="1:3">
      <c r="A13" t="s">
        <v>379</v>
      </c>
    </row>
    <row r="14" spans="1:3">
      <c r="A14" t="s">
        <v>315</v>
      </c>
    </row>
    <row r="15" spans="1:3">
      <c r="A15" t="s">
        <v>221</v>
      </c>
    </row>
    <row r="16" spans="1:3">
      <c r="A16" t="s">
        <v>254</v>
      </c>
    </row>
    <row r="17" spans="1:1">
      <c r="A17" t="s">
        <v>569</v>
      </c>
    </row>
    <row r="18" spans="1:1">
      <c r="A18" t="s">
        <v>289</v>
      </c>
    </row>
    <row r="19" spans="1:1">
      <c r="A19" t="s">
        <v>576</v>
      </c>
    </row>
    <row r="20" spans="1:1">
      <c r="A20" t="s">
        <v>278</v>
      </c>
    </row>
    <row r="21" spans="1:1">
      <c r="A21" t="s">
        <v>606</v>
      </c>
    </row>
    <row r="22" spans="1:1">
      <c r="A22" t="s">
        <v>752</v>
      </c>
    </row>
    <row r="23" spans="1:1">
      <c r="A23" t="s">
        <v>779</v>
      </c>
    </row>
    <row r="24" spans="1:1">
      <c r="A24" t="s">
        <v>691</v>
      </c>
    </row>
    <row r="25" spans="1:1">
      <c r="A25" t="s">
        <v>904</v>
      </c>
    </row>
    <row r="26" spans="1:1">
      <c r="A26" t="s">
        <v>898</v>
      </c>
    </row>
    <row r="27" spans="1:1">
      <c r="A27" t="s">
        <v>785</v>
      </c>
    </row>
    <row r="28" spans="1:1">
      <c r="A28" t="s">
        <v>496</v>
      </c>
    </row>
    <row r="29" spans="1:1">
      <c r="A29" t="s">
        <v>799</v>
      </c>
    </row>
    <row r="30" spans="1:1">
      <c r="A30" t="s">
        <v>909</v>
      </c>
    </row>
    <row r="31" spans="1:1">
      <c r="A31" t="s">
        <v>517</v>
      </c>
    </row>
    <row r="32" spans="1:1">
      <c r="A32" t="s">
        <v>473</v>
      </c>
    </row>
    <row r="33" spans="1:1">
      <c r="A33" t="s">
        <v>246</v>
      </c>
    </row>
    <row r="34" spans="1:1">
      <c r="A34" t="s">
        <v>489</v>
      </c>
    </row>
    <row r="35" spans="1:1">
      <c r="A35" t="s">
        <v>503</v>
      </c>
    </row>
    <row r="36" spans="1:1">
      <c r="A36" t="s">
        <v>371</v>
      </c>
    </row>
    <row r="37" spans="1:1">
      <c r="A37" t="s">
        <v>541</v>
      </c>
    </row>
    <row r="38" spans="1:1">
      <c r="A38" t="s">
        <v>409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Nicolas PAPAZOGLOU</cp:lastModifiedBy>
  <cp:revision>2</cp:revision>
  <dcterms:created xsi:type="dcterms:W3CDTF">2024-10-27T17:26:40Z</dcterms:created>
  <dcterms:modified xsi:type="dcterms:W3CDTF">2026-03-26T16:20:47Z</dcterms:modified>
  <cp:category/>
  <cp:contentStatus/>
</cp:coreProperties>
</file>